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iburlet/Desktop/"/>
    </mc:Choice>
  </mc:AlternateContent>
  <xr:revisionPtr revIDLastSave="0" documentId="13_ncr:1_{79133C1E-59A4-944D-A58C-B7596987058A}" xr6:coauthVersionLast="47" xr6:coauthVersionMax="47" xr10:uidLastSave="{00000000-0000-0000-0000-000000000000}"/>
  <bookViews>
    <workbookView xWindow="160" yWindow="760" windowWidth="28800" windowHeight="16260" activeTab="3" xr2:uid="{C7AF52CE-407C-F14B-A913-89DAEDC9FC06}"/>
  </bookViews>
  <sheets>
    <sheet name="ENERO " sheetId="1" r:id="rId1"/>
    <sheet name="FEBRERO " sheetId="2" r:id="rId2"/>
    <sheet name="MARZO" sheetId="5" r:id="rId3"/>
    <sheet name="ACUMULADO 2026" sheetId="3" r:id="rId4"/>
  </sheets>
  <definedNames>
    <definedName name="_xlnm._FilterDatabase" localSheetId="3" hidden="1">'ACUMULADO 2026'!$AZ$4:$BA$4</definedName>
    <definedName name="_xlnm._FilterDatabase" localSheetId="0" hidden="1">'ENERO '!$A$1:$AV$70</definedName>
    <definedName name="_xlnm._FilterDatabase" localSheetId="1" hidden="1">'FEBRERO '!$I$1:$I$170</definedName>
    <definedName name="_xlnm._FilterDatabase" localSheetId="2" hidden="1">MARZO!$A$2:$AN$111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5" i="3" l="1"/>
  <c r="X10" i="2"/>
  <c r="I3" i="2"/>
  <c r="AU11" i="1" l="1"/>
  <c r="AQ11" i="1"/>
  <c r="AM10" i="1"/>
  <c r="AI16" i="1"/>
  <c r="AE8" i="1"/>
  <c r="AA14" i="1"/>
  <c r="W13" i="1"/>
  <c r="S17" i="1"/>
  <c r="O11" i="1"/>
  <c r="K20" i="1"/>
  <c r="BF13" i="2"/>
  <c r="BB12" i="2"/>
  <c r="AW17" i="2"/>
  <c r="AS19" i="2"/>
  <c r="AN13" i="2"/>
  <c r="AJ19" i="2"/>
  <c r="AF13" i="2"/>
  <c r="AB23" i="2"/>
  <c r="T22" i="2"/>
</calcChain>
</file>

<file path=xl/sharedStrings.xml><?xml version="1.0" encoding="utf-8"?>
<sst xmlns="http://schemas.openxmlformats.org/spreadsheetml/2006/main" count="1655" uniqueCount="233">
  <si>
    <t xml:space="preserve">RANKING FEBRERO CON GRAN HERMANO </t>
  </si>
  <si>
    <t>ANUNCIANTE</t>
  </si>
  <si>
    <t>INVERSION TOTAL</t>
  </si>
  <si>
    <t>Q</t>
  </si>
  <si>
    <t>Total general</t>
  </si>
  <si>
    <t xml:space="preserve">GRAMON.  </t>
  </si>
  <si>
    <t>DIDI</t>
  </si>
  <si>
    <t>LIVIAN</t>
  </si>
  <si>
    <t>BETSSON</t>
  </si>
  <si>
    <t xml:space="preserve">WANDERLUST    </t>
  </si>
  <si>
    <t>UNILEVER</t>
  </si>
  <si>
    <t>SAPHIRUS NUEVO DISNEY</t>
  </si>
  <si>
    <t xml:space="preserve">LOREAL </t>
  </si>
  <si>
    <t>SUPERMERCADOS DIA</t>
  </si>
  <si>
    <t>SAPHIRUS</t>
  </si>
  <si>
    <t>AEROPUERTOS ARGENTINA 2000</t>
  </si>
  <si>
    <t>FORMULAB</t>
  </si>
  <si>
    <t>LEIVA JOYAS</t>
  </si>
  <si>
    <t>MERCADO LIBRE</t>
  </si>
  <si>
    <t>LOREAL</t>
  </si>
  <si>
    <t>RIVADAVIA</t>
  </si>
  <si>
    <t>FRAVEGA</t>
  </si>
  <si>
    <t>FELFORT</t>
  </si>
  <si>
    <t>GLAM</t>
  </si>
  <si>
    <t>JOVIFEL</t>
  </si>
  <si>
    <t>LABORATORIOS CASASCO - BLOKIUM 25</t>
  </si>
  <si>
    <t xml:space="preserve">FRAMINGHAM. </t>
  </si>
  <si>
    <t>TALLA ANTIGUA</t>
  </si>
  <si>
    <t>DIRECTV</t>
  </si>
  <si>
    <t>FRAVEGA ELECTRO SALE</t>
  </si>
  <si>
    <t>AMSTEL</t>
  </si>
  <si>
    <t>GANCIA</t>
  </si>
  <si>
    <t>DOVE</t>
  </si>
  <si>
    <t>VILLAMANAOS</t>
  </si>
  <si>
    <t>CABIFY</t>
  </si>
  <si>
    <t xml:space="preserve">LILIANA </t>
  </si>
  <si>
    <t>BANCO PROVINCIA</t>
  </si>
  <si>
    <t>GCBA</t>
  </si>
  <si>
    <t>HINCHA</t>
  </si>
  <si>
    <t>RODO</t>
  </si>
  <si>
    <t>NARANJA X</t>
  </si>
  <si>
    <t>VIÑAS DE BALBO</t>
  </si>
  <si>
    <t>SIGNO MEDICO</t>
  </si>
  <si>
    <t>TELEKINO</t>
  </si>
  <si>
    <t>VANISH</t>
  </si>
  <si>
    <t>TROZER</t>
  </si>
  <si>
    <t>LEIVA JOYAS LIBRES</t>
  </si>
  <si>
    <t xml:space="preserve">FRAMINGHAM  </t>
  </si>
  <si>
    <t>AROMANZA</t>
  </si>
  <si>
    <t>ILUMINARTE</t>
  </si>
  <si>
    <t>CUMBRES BORRACOSAS</t>
  </si>
  <si>
    <t>TURISMO SAN JUAN</t>
  </si>
  <si>
    <t>MINISTERIO DE COMUNICACIÓN PUBLICA</t>
  </si>
  <si>
    <t>MANAOS</t>
  </si>
  <si>
    <t>PRODUCTOS POZO PNT</t>
  </si>
  <si>
    <t>TARJETA NARANJA</t>
  </si>
  <si>
    <t xml:space="preserve">FRAVEGA </t>
  </si>
  <si>
    <t>CREDITO ARGENTINO</t>
  </si>
  <si>
    <t>DESPEGAR</t>
  </si>
  <si>
    <t>EL TRUST</t>
  </si>
  <si>
    <t>REMAX INMOBILIARIA</t>
  </si>
  <si>
    <t>KAVANAG</t>
  </si>
  <si>
    <t>SABROSITOS</t>
  </si>
  <si>
    <t>AGREE</t>
  </si>
  <si>
    <t>CAROL</t>
  </si>
  <si>
    <t>OBLITA</t>
  </si>
  <si>
    <t>MILLANEL</t>
  </si>
  <si>
    <t>SIMMONS</t>
  </si>
  <si>
    <t>CORDOBA</t>
  </si>
  <si>
    <t>ZONA LIBRE HONGOS</t>
  </si>
  <si>
    <t>LA BRUSQUITA</t>
  </si>
  <si>
    <t>NOVO NORDISK</t>
  </si>
  <si>
    <t>YERBA CBSE</t>
  </si>
  <si>
    <t>NOTA DR. BIANCO</t>
  </si>
  <si>
    <t>PROCTER</t>
  </si>
  <si>
    <t>DELIVERY CORMILLOT</t>
  </si>
  <si>
    <t>VIANDAS CORMILLOT</t>
  </si>
  <si>
    <t>TANG</t>
  </si>
  <si>
    <t>MAXICONSUMO</t>
  </si>
  <si>
    <t>SOMMIERCENTER</t>
  </si>
  <si>
    <t>ARTOSTOP</t>
  </si>
  <si>
    <t>AYAN</t>
  </si>
  <si>
    <t>MUNICIPALIDAD DE VICENTE LOPEZ</t>
  </si>
  <si>
    <t>LIQUITECH</t>
  </si>
  <si>
    <t>RUTA ATLANTICA</t>
  </si>
  <si>
    <t>PARABRISAS PERGAMINO</t>
  </si>
  <si>
    <t>SUIZO</t>
  </si>
  <si>
    <t>DRAGO</t>
  </si>
  <si>
    <t>UÑA LIBRE CREMA</t>
  </si>
  <si>
    <t>PRODUCTOS POZO RECETA</t>
  </si>
  <si>
    <t xml:space="preserve">LEIVA JOYAS  </t>
  </si>
  <si>
    <t>A- CAMBIAME 19S (19)</t>
  </si>
  <si>
    <t>SODIMAC</t>
  </si>
  <si>
    <t xml:space="preserve">RANKING FEBRERO SIN GRAN HERMANO </t>
  </si>
  <si>
    <t xml:space="preserve">INVERSION TOTAL </t>
  </si>
  <si>
    <t>RANKING VENDEDORES FEBRERO</t>
  </si>
  <si>
    <t>VENDEDOR</t>
  </si>
  <si>
    <t>FERNANDO</t>
  </si>
  <si>
    <t>MAXIMILIANO</t>
  </si>
  <si>
    <t>MARA</t>
  </si>
  <si>
    <t>TELEFE</t>
  </si>
  <si>
    <t>CYNTHIA</t>
  </si>
  <si>
    <t>ISABEL</t>
  </si>
  <si>
    <t>FLORENCIA</t>
  </si>
  <si>
    <t>ANDRES</t>
  </si>
  <si>
    <t>CANAL 13</t>
  </si>
  <si>
    <t>AMERICA</t>
  </si>
  <si>
    <t>BRAVECTO</t>
  </si>
  <si>
    <t>ELLAS SON TANGO</t>
  </si>
  <si>
    <t>LA CASA DEL AUDIO</t>
  </si>
  <si>
    <t>ROCKY</t>
  </si>
  <si>
    <t>FRAMINGHAM PHARMA</t>
  </si>
  <si>
    <t>CASA DEL AUDIO</t>
  </si>
  <si>
    <t>Total</t>
  </si>
  <si>
    <t>COTO</t>
  </si>
  <si>
    <t>FOMRULAB</t>
  </si>
  <si>
    <t>GRUPO LAS HERAS</t>
  </si>
  <si>
    <t>KANJI</t>
  </si>
  <si>
    <t>LEIVA</t>
  </si>
  <si>
    <t>NARANJA</t>
  </si>
  <si>
    <t>POZO</t>
  </si>
  <si>
    <t xml:space="preserve">PROCTER. </t>
  </si>
  <si>
    <t>RINDE DOS</t>
  </si>
  <si>
    <t>SAN LUIS</t>
  </si>
  <si>
    <t>X28 ALARMAS</t>
  </si>
  <si>
    <t>CANAL 9</t>
  </si>
  <si>
    <t xml:space="preserve">TELEFE </t>
  </si>
  <si>
    <t xml:space="preserve">RANKING ENERO  </t>
  </si>
  <si>
    <t xml:space="preserve">RANKING VENDEDORES ENERO  </t>
  </si>
  <si>
    <t xml:space="preserve">RANKING POR PROGRAMA ENERO </t>
  </si>
  <si>
    <t>CLIENTE</t>
  </si>
  <si>
    <t>A LA BARBARROSA</t>
  </si>
  <si>
    <t>BIENVENIDOS A GANAR</t>
  </si>
  <si>
    <t xml:space="preserve">CORTA POR LOZANO </t>
  </si>
  <si>
    <t xml:space="preserve">CUESTION DE PESO </t>
  </si>
  <si>
    <t xml:space="preserve">ESCUELA DE COCINA </t>
  </si>
  <si>
    <t>KZO</t>
  </si>
  <si>
    <t>LA COCINA REBELDE</t>
  </si>
  <si>
    <t xml:space="preserve">MEDIOS </t>
  </si>
  <si>
    <t>POLEMICA EN EL BAR</t>
  </si>
  <si>
    <t>THE BALLS</t>
  </si>
  <si>
    <t xml:space="preserve">BIENVENIDOS </t>
  </si>
  <si>
    <t>ESCUELA DE COCINA</t>
  </si>
  <si>
    <t>MEDIOS</t>
  </si>
  <si>
    <t>POLEMICA</t>
  </si>
  <si>
    <t xml:space="preserve">THE BALLS </t>
  </si>
  <si>
    <t>RANKING POR PROGRAMA FEBRERO</t>
  </si>
  <si>
    <t>PRODCUTOS POZO</t>
  </si>
  <si>
    <t>CASASCO</t>
  </si>
  <si>
    <t>(en blanco)</t>
  </si>
  <si>
    <t>ANDRES K</t>
  </si>
  <si>
    <t xml:space="preserve">GRAN HERMANO </t>
  </si>
  <si>
    <t xml:space="preserve">WANDERLUST   </t>
  </si>
  <si>
    <t>FORMULAB.</t>
  </si>
  <si>
    <t>RANKING ANUAL CON GH</t>
  </si>
  <si>
    <t>RANKING ANUAL SIN GH</t>
  </si>
  <si>
    <t xml:space="preserve">RANKING VENDEDORES ANUAL </t>
  </si>
  <si>
    <t>THE BALLS.</t>
  </si>
  <si>
    <t>QUERUCLOR</t>
  </si>
  <si>
    <t>CORMILLOT</t>
  </si>
  <si>
    <t xml:space="preserve">ERIA DEL MUEBLE </t>
  </si>
  <si>
    <t>CBSE</t>
  </si>
  <si>
    <t>AEROPUERTOS ARGENTINA</t>
  </si>
  <si>
    <t>ADIUM</t>
  </si>
  <si>
    <t>GRAMON</t>
  </si>
  <si>
    <t>LILIANA</t>
  </si>
  <si>
    <t>AVICOPER</t>
  </si>
  <si>
    <t>TOMATES DE LA HUERTA</t>
  </si>
  <si>
    <t>MAPFRE</t>
  </si>
  <si>
    <t>LA SERENISIMA</t>
  </si>
  <si>
    <t>AYUDIN</t>
  </si>
  <si>
    <t>TOYOTA</t>
  </si>
  <si>
    <t xml:space="preserve">ES MI SUEÑO </t>
  </si>
  <si>
    <t>KONGO</t>
  </si>
  <si>
    <t xml:space="preserve">MARTIN K </t>
  </si>
  <si>
    <t>JOYERIA CANTONS</t>
  </si>
  <si>
    <t>FACTOR AE</t>
  </si>
  <si>
    <t>TRAVEL ROCK</t>
  </si>
  <si>
    <t>COCA COLA</t>
  </si>
  <si>
    <t>SHELL</t>
  </si>
  <si>
    <t>ESCORIAL</t>
  </si>
  <si>
    <t>CENTRO UNIV. DE IDIOMAS</t>
  </si>
  <si>
    <t>SIGLO 21</t>
  </si>
  <si>
    <t>SONY</t>
  </si>
  <si>
    <t>MEDICUS</t>
  </si>
  <si>
    <t>UIP</t>
  </si>
  <si>
    <t>RIOSMA</t>
  </si>
  <si>
    <t>MERCADO PAGO</t>
  </si>
  <si>
    <t>CLARIN</t>
  </si>
  <si>
    <t>RECKITT</t>
  </si>
  <si>
    <t>SUPER MARIO</t>
  </si>
  <si>
    <t>MONDELEZ</t>
  </si>
  <si>
    <t>WANDERLUST</t>
  </si>
  <si>
    <t>CCU</t>
  </si>
  <si>
    <t>CETROGAR</t>
  </si>
  <si>
    <t>LA CARDEUSE</t>
  </si>
  <si>
    <t>EASY TAXI</t>
  </si>
  <si>
    <t>DREAMCO</t>
  </si>
  <si>
    <t>MARIO BROS</t>
  </si>
  <si>
    <t xml:space="preserve">AEROPUERTOS ARGENTINA </t>
  </si>
  <si>
    <t>MEGALABS</t>
  </si>
  <si>
    <t>CENTRO UNIVERSITARIO DE IDIOMAS</t>
  </si>
  <si>
    <t>CLOROX</t>
  </si>
  <si>
    <t>FLOW</t>
  </si>
  <si>
    <t>MAXIMA LA SERIE</t>
  </si>
  <si>
    <t>REMAX</t>
  </si>
  <si>
    <t xml:space="preserve">TODO COCINADO </t>
  </si>
  <si>
    <t xml:space="preserve">PRODUCTOS POZO </t>
  </si>
  <si>
    <t>BETTSON</t>
  </si>
  <si>
    <t>DIAMOND</t>
  </si>
  <si>
    <t>MARMOL</t>
  </si>
  <si>
    <t>FERIA DEL MUEBLE</t>
  </si>
  <si>
    <t xml:space="preserve">KZO   </t>
  </si>
  <si>
    <t xml:space="preserve">PROVINCIA DE BUENOS AIRES </t>
  </si>
  <si>
    <t>TIGRE</t>
  </si>
  <si>
    <t>HAIR RECOVERY</t>
  </si>
  <si>
    <t xml:space="preserve">SUPERMERCADOS DIA </t>
  </si>
  <si>
    <t>LAS 3 NIÑAS</t>
  </si>
  <si>
    <t>OBRA DE TEATRO ROCKY</t>
  </si>
  <si>
    <t>FERIA IMA</t>
  </si>
  <si>
    <t>LABORATORIOS CASASCO</t>
  </si>
  <si>
    <t>NIXXON</t>
  </si>
  <si>
    <t>QUERUBIN</t>
  </si>
  <si>
    <t>PINDAPOY</t>
  </si>
  <si>
    <t>CADOS</t>
  </si>
  <si>
    <t>QUELAT</t>
  </si>
  <si>
    <t>CANTONS JOIERS</t>
  </si>
  <si>
    <t xml:space="preserve">RANKING MARZO CON GRAN HERMANO </t>
  </si>
  <si>
    <t xml:space="preserve">RANKING MARZO SIN GRAN HERMANO </t>
  </si>
  <si>
    <t>RANKING VENDEDORES MARZO</t>
  </si>
  <si>
    <t xml:space="preserve">SUMA </t>
  </si>
  <si>
    <t>TOTAL</t>
  </si>
  <si>
    <t xml:space="preserve">FERIA DEL MUEBLE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</si>
</sst>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\ * #,##0.00_);_(&quot;$&quot;\ * \(#,##0.00\);_(&quot;$&quot;\ * &quot;-&quot;??_);_(@_)"/>
    <numFmt numFmtId="164" formatCode="_-[$$-2C0A]\ * #,##0.00_-;\-[$$-2C0A]\ * #,##0.00_-;_-[$$-2C0A]\ * &quot;-&quot;??_-;_-@_-"/>
    <numFmt numFmtId="165" formatCode="_-* #,##0.00_-;\-* #,##0.00_-;_-* &quot;-&quot;??_-;_-@_-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20"/>
      <name val="Arial"/>
      <family val="2"/>
    </font>
    <font>
      <b/>
      <u/>
      <sz val="20"/>
      <name val="Arial"/>
      <family val="2"/>
    </font>
    <font>
      <sz val="20"/>
      <color theme="1"/>
      <name val="Arial"/>
      <family val="2"/>
    </font>
    <font>
      <b/>
      <sz val="20"/>
      <name val="Arial"/>
      <family val="2"/>
    </font>
    <font>
      <b/>
      <sz val="20"/>
      <color theme="1"/>
      <name val="Arial"/>
      <family val="2"/>
    </font>
    <font>
      <b/>
      <u/>
      <sz val="20"/>
      <color theme="1"/>
      <name val="Arial"/>
      <family val="2"/>
    </font>
    <font>
      <sz val="20"/>
      <color rgb="FF000000"/>
      <name val="Arial"/>
      <family val="2"/>
    </font>
    <font>
      <b/>
      <u/>
      <sz val="20"/>
      <color rgb="FF000000"/>
      <name val="Arial"/>
      <family val="2"/>
    </font>
    <font>
      <sz val="16"/>
      <color theme="1"/>
      <name val="Arial"/>
      <family val="2"/>
    </font>
    <font>
      <sz val="10"/>
      <name val="Arial"/>
      <family val="2"/>
    </font>
    <font>
      <sz val="22"/>
      <color theme="1"/>
      <name val="Arial"/>
      <family val="2"/>
    </font>
    <font>
      <b/>
      <u/>
      <sz val="22"/>
      <name val="Arial"/>
      <family val="2"/>
    </font>
    <font>
      <sz val="22"/>
      <name val="Arial"/>
      <family val="2"/>
    </font>
    <font>
      <b/>
      <sz val="22"/>
      <color theme="1"/>
      <name val="Arial"/>
      <family val="2"/>
    </font>
    <font>
      <b/>
      <u/>
      <sz val="22"/>
      <color theme="1"/>
      <name val="Arial"/>
      <family val="2"/>
    </font>
    <font>
      <b/>
      <sz val="22"/>
      <name val="Arial"/>
      <family val="2"/>
    </font>
    <font>
      <sz val="22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 style="thin">
        <color theme="4" tint="0.3999755851924192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1" fillId="0" borderId="0" applyFill="0" applyBorder="0" applyAlignment="0" applyProtection="0"/>
  </cellStyleXfs>
  <cellXfs count="130"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1" xfId="0" applyFont="1" applyBorder="1"/>
    <xf numFmtId="164" fontId="5" fillId="0" borderId="1" xfId="1" applyNumberFormat="1" applyFont="1" applyBorder="1"/>
    <xf numFmtId="0" fontId="5" fillId="0" borderId="1" xfId="0" applyFont="1" applyBorder="1" applyAlignment="1">
      <alignment horizontal="center"/>
    </xf>
    <xf numFmtId="0" fontId="5" fillId="2" borderId="2" xfId="0" applyFont="1" applyFill="1" applyBorder="1"/>
    <xf numFmtId="164" fontId="5" fillId="2" borderId="3" xfId="0" applyNumberFormat="1" applyFont="1" applyFill="1" applyBorder="1"/>
    <xf numFmtId="164" fontId="5" fillId="0" borderId="1" xfId="2" applyNumberFormat="1" applyFont="1" applyBorder="1"/>
    <xf numFmtId="164" fontId="4" fillId="0" borderId="0" xfId="0" applyNumberFormat="1" applyFont="1"/>
    <xf numFmtId="0" fontId="5" fillId="0" borderId="4" xfId="0" applyFont="1" applyBorder="1" applyAlignment="1">
      <alignment horizontal="center"/>
    </xf>
    <xf numFmtId="164" fontId="2" fillId="0" borderId="0" xfId="0" applyNumberFormat="1" applyFont="1"/>
    <xf numFmtId="0" fontId="5" fillId="0" borderId="6" xfId="0" applyFont="1" applyBorder="1" applyAlignment="1">
      <alignment horizontal="center"/>
    </xf>
    <xf numFmtId="0" fontId="6" fillId="2" borderId="0" xfId="0" applyFont="1" applyFill="1"/>
    <xf numFmtId="164" fontId="6" fillId="2" borderId="0" xfId="0" applyNumberFormat="1" applyFont="1" applyFill="1"/>
    <xf numFmtId="0" fontId="5" fillId="2" borderId="1" xfId="0" applyFont="1" applyFill="1" applyBorder="1"/>
    <xf numFmtId="164" fontId="5" fillId="2" borderId="3" xfId="1" applyNumberFormat="1" applyFont="1" applyFill="1" applyBorder="1"/>
    <xf numFmtId="0" fontId="2" fillId="0" borderId="7" xfId="0" applyFont="1" applyBorder="1"/>
    <xf numFmtId="164" fontId="2" fillId="0" borderId="8" xfId="0" applyNumberFormat="1" applyFont="1" applyBorder="1"/>
    <xf numFmtId="0" fontId="5" fillId="0" borderId="5" xfId="0" applyFont="1" applyBorder="1" applyAlignment="1">
      <alignment horizontal="center"/>
    </xf>
    <xf numFmtId="0" fontId="2" fillId="0" borderId="9" xfId="0" applyFont="1" applyBorder="1"/>
    <xf numFmtId="164" fontId="2" fillId="0" borderId="10" xfId="0" applyNumberFormat="1" applyFont="1" applyBorder="1"/>
    <xf numFmtId="0" fontId="7" fillId="2" borderId="0" xfId="0" applyFont="1" applyFill="1"/>
    <xf numFmtId="0" fontId="7" fillId="0" borderId="0" xfId="0" applyFont="1"/>
    <xf numFmtId="0" fontId="5" fillId="0" borderId="12" xfId="0" applyFont="1" applyBorder="1" applyAlignment="1">
      <alignment horizontal="center"/>
    </xf>
    <xf numFmtId="164" fontId="7" fillId="0" borderId="0" xfId="0" applyNumberFormat="1" applyFont="1"/>
    <xf numFmtId="0" fontId="6" fillId="0" borderId="11" xfId="0" applyFont="1" applyBorder="1"/>
    <xf numFmtId="0" fontId="4" fillId="0" borderId="13" xfId="0" applyFont="1" applyBorder="1"/>
    <xf numFmtId="0" fontId="3" fillId="2" borderId="14" xfId="0" applyFont="1" applyFill="1" applyBorder="1"/>
    <xf numFmtId="164" fontId="4" fillId="0" borderId="15" xfId="0" applyNumberFormat="1" applyFont="1" applyBorder="1"/>
    <xf numFmtId="164" fontId="6" fillId="0" borderId="8" xfId="0" applyNumberFormat="1" applyFont="1" applyBorder="1"/>
    <xf numFmtId="164" fontId="7" fillId="2" borderId="8" xfId="0" applyNumberFormat="1" applyFont="1" applyFill="1" applyBorder="1"/>
    <xf numFmtId="164" fontId="4" fillId="0" borderId="8" xfId="0" applyNumberFormat="1" applyFont="1" applyBorder="1"/>
    <xf numFmtId="0" fontId="4" fillId="0" borderId="16" xfId="0" applyFont="1" applyBorder="1"/>
    <xf numFmtId="164" fontId="4" fillId="0" borderId="10" xfId="0" applyNumberFormat="1" applyFont="1" applyBorder="1"/>
    <xf numFmtId="0" fontId="6" fillId="0" borderId="0" xfId="0" applyFont="1"/>
    <xf numFmtId="0" fontId="4" fillId="0" borderId="7" xfId="0" applyFont="1" applyBorder="1"/>
    <xf numFmtId="0" fontId="4" fillId="0" borderId="9" xfId="0" applyFont="1" applyBorder="1"/>
    <xf numFmtId="0" fontId="6" fillId="2" borderId="13" xfId="0" applyFont="1" applyFill="1" applyBorder="1"/>
    <xf numFmtId="0" fontId="4" fillId="0" borderId="14" xfId="0" applyFont="1" applyBorder="1"/>
    <xf numFmtId="0" fontId="4" fillId="0" borderId="10" xfId="0" applyFont="1" applyBorder="1"/>
    <xf numFmtId="164" fontId="3" fillId="2" borderId="0" xfId="0" applyNumberFormat="1" applyFont="1" applyFill="1"/>
    <xf numFmtId="164" fontId="4" fillId="0" borderId="14" xfId="0" applyNumberFormat="1" applyFont="1" applyBorder="1"/>
    <xf numFmtId="164" fontId="4" fillId="0" borderId="7" xfId="0" applyNumberFormat="1" applyFont="1" applyBorder="1"/>
    <xf numFmtId="164" fontId="4" fillId="0" borderId="9" xfId="0" applyNumberFormat="1" applyFont="1" applyBorder="1"/>
    <xf numFmtId="164" fontId="4" fillId="0" borderId="16" xfId="0" applyNumberFormat="1" applyFont="1" applyBorder="1"/>
    <xf numFmtId="164" fontId="6" fillId="2" borderId="13" xfId="0" applyNumberFormat="1" applyFont="1" applyFill="1" applyBorder="1"/>
    <xf numFmtId="0" fontId="8" fillId="0" borderId="14" xfId="0" applyFont="1" applyBorder="1"/>
    <xf numFmtId="164" fontId="8" fillId="0" borderId="15" xfId="0" applyNumberFormat="1" applyFont="1" applyBorder="1"/>
    <xf numFmtId="0" fontId="8" fillId="0" borderId="7" xfId="0" applyFont="1" applyBorder="1"/>
    <xf numFmtId="0" fontId="8" fillId="0" borderId="0" xfId="0" applyFont="1"/>
    <xf numFmtId="164" fontId="8" fillId="0" borderId="8" xfId="0" applyNumberFormat="1" applyFont="1" applyBorder="1"/>
    <xf numFmtId="0" fontId="8" fillId="0" borderId="9" xfId="0" applyFont="1" applyBorder="1"/>
    <xf numFmtId="0" fontId="8" fillId="0" borderId="16" xfId="0" applyFont="1" applyBorder="1"/>
    <xf numFmtId="164" fontId="8" fillId="0" borderId="10" xfId="0" applyNumberFormat="1" applyFont="1" applyBorder="1"/>
    <xf numFmtId="0" fontId="9" fillId="2" borderId="13" xfId="0" applyFont="1" applyFill="1" applyBorder="1"/>
    <xf numFmtId="0" fontId="7" fillId="2" borderId="13" xfId="0" applyFont="1" applyFill="1" applyBorder="1"/>
    <xf numFmtId="0" fontId="7" fillId="2" borderId="7" xfId="0" applyFont="1" applyFill="1" applyBorder="1"/>
    <xf numFmtId="0" fontId="7" fillId="2" borderId="2" xfId="0" applyFont="1" applyFill="1" applyBorder="1"/>
    <xf numFmtId="0" fontId="10" fillId="0" borderId="0" xfId="0" applyFont="1"/>
    <xf numFmtId="164" fontId="10" fillId="0" borderId="0" xfId="0" applyNumberFormat="1" applyFont="1"/>
    <xf numFmtId="0" fontId="5" fillId="0" borderId="0" xfId="0" applyFont="1" applyAlignment="1">
      <alignment horizontal="center"/>
    </xf>
    <xf numFmtId="0" fontId="12" fillId="0" borderId="0" xfId="0" applyFont="1"/>
    <xf numFmtId="0" fontId="13" fillId="2" borderId="0" xfId="0" applyFont="1" applyFill="1"/>
    <xf numFmtId="164" fontId="14" fillId="0" borderId="0" xfId="0" applyNumberFormat="1" applyFont="1"/>
    <xf numFmtId="0" fontId="14" fillId="0" borderId="0" xfId="0" applyFont="1"/>
    <xf numFmtId="0" fontId="15" fillId="2" borderId="13" xfId="0" applyFont="1" applyFill="1" applyBorder="1"/>
    <xf numFmtId="164" fontId="12" fillId="0" borderId="15" xfId="0" applyNumberFormat="1" applyFont="1" applyBorder="1"/>
    <xf numFmtId="164" fontId="12" fillId="0" borderId="0" xfId="0" applyNumberFormat="1" applyFont="1"/>
    <xf numFmtId="0" fontId="12" fillId="0" borderId="14" xfId="0" applyFont="1" applyBorder="1"/>
    <xf numFmtId="0" fontId="16" fillId="0" borderId="0" xfId="0" applyFont="1"/>
    <xf numFmtId="0" fontId="14" fillId="0" borderId="1" xfId="0" applyFont="1" applyBorder="1"/>
    <xf numFmtId="0" fontId="17" fillId="0" borderId="0" xfId="0" applyFont="1" applyAlignment="1">
      <alignment horizontal="center"/>
    </xf>
    <xf numFmtId="0" fontId="15" fillId="0" borderId="7" xfId="0" applyFont="1" applyBorder="1"/>
    <xf numFmtId="164" fontId="15" fillId="0" borderId="8" xfId="0" applyNumberFormat="1" applyFont="1" applyBorder="1"/>
    <xf numFmtId="0" fontId="12" fillId="0" borderId="13" xfId="0" applyFont="1" applyBorder="1"/>
    <xf numFmtId="164" fontId="12" fillId="0" borderId="8" xfId="0" applyNumberFormat="1" applyFont="1" applyBorder="1"/>
    <xf numFmtId="0" fontId="12" fillId="0" borderId="7" xfId="0" applyFont="1" applyBorder="1"/>
    <xf numFmtId="0" fontId="17" fillId="0" borderId="4" xfId="0" applyFont="1" applyBorder="1" applyAlignment="1">
      <alignment horizontal="center"/>
    </xf>
    <xf numFmtId="164" fontId="12" fillId="0" borderId="10" xfId="0" applyNumberFormat="1" applyFont="1" applyBorder="1"/>
    <xf numFmtId="164" fontId="15" fillId="0" borderId="0" xfId="0" applyNumberFormat="1" applyFont="1"/>
    <xf numFmtId="0" fontId="12" fillId="0" borderId="9" xfId="0" applyFont="1" applyBorder="1"/>
    <xf numFmtId="0" fontId="12" fillId="0" borderId="16" xfId="0" applyFont="1" applyBorder="1"/>
    <xf numFmtId="44" fontId="14" fillId="0" borderId="0" xfId="1" applyFont="1"/>
    <xf numFmtId="44" fontId="14" fillId="0" borderId="1" xfId="1" applyFont="1" applyBorder="1"/>
    <xf numFmtId="44" fontId="12" fillId="0" borderId="0" xfId="1" applyFont="1"/>
    <xf numFmtId="0" fontId="17" fillId="0" borderId="0" xfId="0" applyFont="1"/>
    <xf numFmtId="0" fontId="17" fillId="0" borderId="1" xfId="0" applyFont="1" applyBorder="1"/>
    <xf numFmtId="164" fontId="17" fillId="0" borderId="1" xfId="1" applyNumberFormat="1" applyFont="1" applyBorder="1"/>
    <xf numFmtId="164" fontId="17" fillId="0" borderId="0" xfId="1" applyNumberFormat="1" applyFont="1" applyBorder="1"/>
    <xf numFmtId="0" fontId="17" fillId="0" borderId="6" xfId="0" applyFont="1" applyBorder="1" applyAlignment="1">
      <alignment horizontal="center"/>
    </xf>
    <xf numFmtId="0" fontId="17" fillId="2" borderId="1" xfId="0" applyFont="1" applyFill="1" applyBorder="1"/>
    <xf numFmtId="164" fontId="17" fillId="2" borderId="3" xfId="1" applyNumberFormat="1" applyFont="1" applyFill="1" applyBorder="1"/>
    <xf numFmtId="0" fontId="15" fillId="0" borderId="13" xfId="0" applyFont="1" applyBorder="1"/>
    <xf numFmtId="164" fontId="15" fillId="0" borderId="15" xfId="0" applyNumberFormat="1" applyFont="1" applyBorder="1"/>
    <xf numFmtId="0" fontId="12" fillId="0" borderId="14" xfId="0" applyFont="1" applyBorder="1" applyAlignment="1">
      <alignment horizontal="left"/>
    </xf>
    <xf numFmtId="0" fontId="15" fillId="0" borderId="18" xfId="0" applyFont="1" applyBorder="1" applyAlignment="1">
      <alignment horizontal="left"/>
    </xf>
    <xf numFmtId="164" fontId="15" fillId="0" borderId="19" xfId="0" applyNumberFormat="1" applyFont="1" applyBorder="1"/>
    <xf numFmtId="0" fontId="12" fillId="0" borderId="0" xfId="0" applyFont="1" applyAlignment="1">
      <alignment horizontal="left"/>
    </xf>
    <xf numFmtId="0" fontId="12" fillId="0" borderId="7" xfId="0" applyFont="1" applyBorder="1" applyAlignment="1">
      <alignment horizontal="left" indent="1"/>
    </xf>
    <xf numFmtId="0" fontId="12" fillId="0" borderId="9" xfId="0" applyFont="1" applyBorder="1" applyAlignment="1">
      <alignment horizontal="left" indent="1"/>
    </xf>
    <xf numFmtId="0" fontId="15" fillId="0" borderId="5" xfId="0" applyFont="1" applyBorder="1"/>
    <xf numFmtId="0" fontId="12" fillId="0" borderId="16" xfId="0" applyFont="1" applyBorder="1" applyAlignment="1">
      <alignment horizontal="left"/>
    </xf>
    <xf numFmtId="0" fontId="17" fillId="0" borderId="17" xfId="0" applyFont="1" applyBorder="1" applyAlignment="1">
      <alignment horizontal="center"/>
    </xf>
    <xf numFmtId="44" fontId="12" fillId="0" borderId="8" xfId="1" applyFont="1" applyBorder="1"/>
    <xf numFmtId="44" fontId="12" fillId="0" borderId="10" xfId="1" applyFont="1" applyBorder="1"/>
    <xf numFmtId="0" fontId="15" fillId="0" borderId="0" xfId="0" applyFont="1"/>
    <xf numFmtId="44" fontId="12" fillId="0" borderId="0" xfId="1" applyFont="1" applyBorder="1"/>
    <xf numFmtId="0" fontId="17" fillId="0" borderId="13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44" fontId="15" fillId="2" borderId="15" xfId="1" applyFont="1" applyFill="1" applyBorder="1"/>
    <xf numFmtId="0" fontId="15" fillId="0" borderId="9" xfId="0" applyFont="1" applyBorder="1"/>
    <xf numFmtId="0" fontId="15" fillId="0" borderId="16" xfId="0" applyFont="1" applyBorder="1"/>
    <xf numFmtId="164" fontId="15" fillId="0" borderId="10" xfId="0" applyNumberFormat="1" applyFont="1" applyBorder="1"/>
    <xf numFmtId="0" fontId="15" fillId="2" borderId="14" xfId="0" applyFont="1" applyFill="1" applyBorder="1"/>
    <xf numFmtId="0" fontId="15" fillId="0" borderId="4" xfId="0" applyFont="1" applyBorder="1"/>
    <xf numFmtId="164" fontId="12" fillId="2" borderId="15" xfId="0" applyNumberFormat="1" applyFont="1" applyFill="1" applyBorder="1"/>
    <xf numFmtId="0" fontId="14" fillId="0" borderId="6" xfId="0" applyFont="1" applyBorder="1"/>
    <xf numFmtId="164" fontId="14" fillId="0" borderId="6" xfId="0" applyNumberFormat="1" applyFont="1" applyBorder="1"/>
    <xf numFmtId="0" fontId="14" fillId="0" borderId="13" xfId="0" applyFont="1" applyBorder="1" applyAlignment="1">
      <alignment horizontal="center"/>
    </xf>
    <xf numFmtId="0" fontId="12" fillId="2" borderId="14" xfId="0" applyFont="1" applyFill="1" applyBorder="1"/>
    <xf numFmtId="0" fontId="12" fillId="0" borderId="0" xfId="0" applyFont="1" applyBorder="1"/>
    <xf numFmtId="164" fontId="12" fillId="0" borderId="0" xfId="0" applyNumberFormat="1" applyFont="1" applyBorder="1"/>
    <xf numFmtId="0" fontId="18" fillId="0" borderId="0" xfId="0" applyFont="1" applyBorder="1"/>
    <xf numFmtId="0" fontId="12" fillId="0" borderId="10" xfId="0" applyFont="1" applyBorder="1"/>
    <xf numFmtId="0" fontId="15" fillId="0" borderId="14" xfId="0" applyFont="1" applyBorder="1"/>
    <xf numFmtId="164" fontId="15" fillId="0" borderId="0" xfId="0" applyNumberFormat="1" applyFont="1" applyBorder="1"/>
    <xf numFmtId="0" fontId="16" fillId="0" borderId="0" xfId="0" applyFont="1" applyBorder="1"/>
  </cellXfs>
  <cellStyles count="4">
    <cellStyle name="Millares 10" xfId="3" xr:uid="{C44307FE-DCE8-074B-A95A-9C445454CE99}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2F9A7-D372-EC45-93AD-98667815A66E}">
  <dimension ref="A1:AU96"/>
  <sheetViews>
    <sheetView topLeftCell="W1" zoomScale="57" workbookViewId="0">
      <selection activeCell="G6" sqref="G6"/>
    </sheetView>
  </sheetViews>
  <sheetFormatPr baseColWidth="10" defaultRowHeight="25" customHeight="1" x14ac:dyDescent="0.25"/>
  <cols>
    <col min="1" max="1" width="5.5" style="3" bestFit="1" customWidth="1"/>
    <col min="2" max="2" width="71" style="3" bestFit="1" customWidth="1"/>
    <col min="3" max="3" width="30.33203125" style="10" bestFit="1" customWidth="1"/>
    <col min="4" max="4" width="33.5" style="10" customWidth="1"/>
    <col min="5" max="5" width="5.5" style="3" bestFit="1" customWidth="1"/>
    <col min="6" max="6" width="56.6640625" style="3" bestFit="1" customWidth="1"/>
    <col min="7" max="7" width="30.33203125" style="10" bestFit="1" customWidth="1"/>
    <col min="8" max="8" width="33.6640625" style="3" customWidth="1"/>
    <col min="9" max="9" width="64.83203125" style="3" bestFit="1" customWidth="1"/>
    <col min="10" max="10" width="61.33203125" style="3" bestFit="1" customWidth="1"/>
    <col min="11" max="11" width="30.33203125" style="3" bestFit="1" customWidth="1"/>
    <col min="12" max="12" width="30.33203125" style="10" bestFit="1" customWidth="1"/>
    <col min="13" max="13" width="41.33203125" style="3" bestFit="1" customWidth="1"/>
    <col min="14" max="14" width="24.33203125" style="3" bestFit="1" customWidth="1"/>
    <col min="15" max="15" width="28.5" style="3" bestFit="1" customWidth="1"/>
    <col min="16" max="16" width="48.83203125" style="3" bestFit="1" customWidth="1"/>
    <col min="17" max="17" width="38.5" style="3" bestFit="1" customWidth="1"/>
    <col min="18" max="18" width="71" style="3" bestFit="1" customWidth="1"/>
    <col min="19" max="19" width="28.5" style="3" bestFit="1" customWidth="1"/>
    <col min="20" max="20" width="47.5" style="3" bestFit="1" customWidth="1"/>
    <col min="21" max="21" width="35.83203125" style="3" bestFit="1" customWidth="1"/>
    <col min="22" max="22" width="44" style="3" bestFit="1" customWidth="1"/>
    <col min="23" max="23" width="28.5" style="3" bestFit="1" customWidth="1"/>
    <col min="24" max="24" width="49.83203125" style="3" bestFit="1" customWidth="1"/>
    <col min="25" max="25" width="38.33203125" style="3" bestFit="1" customWidth="1"/>
    <col min="26" max="26" width="40" style="3" bestFit="1" customWidth="1"/>
    <col min="27" max="27" width="28.5" style="3" bestFit="1" customWidth="1"/>
    <col min="28" max="28" width="18.1640625" style="3" bestFit="1" customWidth="1"/>
    <col min="29" max="29" width="9" style="3" bestFit="1" customWidth="1"/>
    <col min="30" max="30" width="33" style="3" bestFit="1" customWidth="1"/>
    <col min="31" max="31" width="28.5" style="3" bestFit="1" customWidth="1"/>
    <col min="32" max="32" width="48.1640625" style="3" bestFit="1" customWidth="1"/>
    <col min="33" max="33" width="37" style="3" bestFit="1" customWidth="1"/>
    <col min="34" max="34" width="40" style="3" bestFit="1" customWidth="1"/>
    <col min="35" max="35" width="28.5" style="3" bestFit="1" customWidth="1"/>
    <col min="36" max="36" width="16.5" style="3" bestFit="1" customWidth="1"/>
    <col min="37" max="37" width="15.6640625" style="3" bestFit="1" customWidth="1"/>
    <col min="38" max="38" width="39" style="3" bestFit="1" customWidth="1"/>
    <col min="39" max="39" width="30.33203125" style="3" bestFit="1" customWidth="1"/>
    <col min="40" max="40" width="49.83203125" style="3" bestFit="1" customWidth="1"/>
    <col min="41" max="41" width="38.5" style="3" bestFit="1" customWidth="1"/>
    <col min="42" max="42" width="33.6640625" style="3" bestFit="1" customWidth="1"/>
    <col min="43" max="43" width="28.5" style="3" bestFit="1" customWidth="1"/>
    <col min="44" max="44" width="30.5" style="3" bestFit="1" customWidth="1"/>
    <col min="45" max="45" width="20.33203125" style="3" bestFit="1" customWidth="1"/>
    <col min="46" max="46" width="29.33203125" style="3" bestFit="1" customWidth="1"/>
    <col min="47" max="47" width="30.33203125" style="3" bestFit="1" customWidth="1"/>
    <col min="48" max="16384" width="10.83203125" style="3"/>
  </cols>
  <sheetData>
    <row r="1" spans="1:47" ht="25" customHeight="1" thickBot="1" x14ac:dyDescent="0.3">
      <c r="I1" s="2" t="s">
        <v>129</v>
      </c>
    </row>
    <row r="2" spans="1:47" ht="25" customHeight="1" thickBot="1" x14ac:dyDescent="0.3">
      <c r="A2" s="28"/>
      <c r="B2" s="29" t="s">
        <v>127</v>
      </c>
      <c r="C2" s="30"/>
      <c r="E2" s="28"/>
      <c r="F2" s="29" t="s">
        <v>128</v>
      </c>
      <c r="G2" s="30"/>
      <c r="I2" s="39" t="s">
        <v>131</v>
      </c>
      <c r="J2" s="40" t="s">
        <v>130</v>
      </c>
      <c r="K2" s="30" t="s">
        <v>113</v>
      </c>
      <c r="M2" s="56" t="s">
        <v>132</v>
      </c>
      <c r="N2" s="48" t="s">
        <v>115</v>
      </c>
      <c r="O2" s="49">
        <v>15640000</v>
      </c>
      <c r="Q2" s="57" t="s">
        <v>133</v>
      </c>
      <c r="R2" s="40"/>
      <c r="S2" s="30"/>
      <c r="U2" s="57" t="s">
        <v>134</v>
      </c>
      <c r="V2" s="40"/>
      <c r="W2" s="30"/>
      <c r="Y2" s="57" t="s">
        <v>135</v>
      </c>
      <c r="Z2" s="40"/>
      <c r="AA2" s="30"/>
      <c r="AC2" s="57" t="s">
        <v>136</v>
      </c>
      <c r="AD2" s="40" t="s">
        <v>36</v>
      </c>
      <c r="AE2" s="30">
        <v>10000000</v>
      </c>
      <c r="AI2" s="10"/>
      <c r="AK2" s="57" t="s">
        <v>138</v>
      </c>
      <c r="AL2" s="40"/>
      <c r="AM2" s="30"/>
      <c r="AO2" s="58" t="s">
        <v>139</v>
      </c>
      <c r="AP2" s="40"/>
      <c r="AQ2" s="30"/>
      <c r="AS2" s="59" t="s">
        <v>140</v>
      </c>
      <c r="AT2" s="40"/>
      <c r="AU2" s="30"/>
    </row>
    <row r="3" spans="1:47" ht="25" customHeight="1" thickBot="1" x14ac:dyDescent="0.3">
      <c r="A3" s="6" t="s">
        <v>3</v>
      </c>
      <c r="B3" s="36" t="s">
        <v>1</v>
      </c>
      <c r="C3" s="31" t="s">
        <v>113</v>
      </c>
      <c r="E3" s="6" t="s">
        <v>3</v>
      </c>
      <c r="F3" s="27" t="s">
        <v>96</v>
      </c>
      <c r="G3" s="31" t="s">
        <v>113</v>
      </c>
      <c r="I3" s="37"/>
      <c r="J3" s="3" t="s">
        <v>6</v>
      </c>
      <c r="K3" s="33">
        <v>18630000</v>
      </c>
      <c r="M3" s="50"/>
      <c r="N3" s="51" t="s">
        <v>17</v>
      </c>
      <c r="O3" s="52">
        <v>6214435.9199999999</v>
      </c>
      <c r="Q3" s="37"/>
      <c r="R3" s="3" t="s">
        <v>6</v>
      </c>
      <c r="S3" s="33">
        <v>21870000</v>
      </c>
      <c r="U3" s="37"/>
      <c r="V3" s="3" t="s">
        <v>5</v>
      </c>
      <c r="W3" s="33">
        <v>17204467.5</v>
      </c>
      <c r="Y3" s="37"/>
      <c r="Z3" s="3" t="s">
        <v>115</v>
      </c>
      <c r="AA3" s="33">
        <v>22386000</v>
      </c>
      <c r="AC3" s="37"/>
      <c r="AD3" s="3" t="s">
        <v>118</v>
      </c>
      <c r="AE3" s="33">
        <v>9766284.4000000004</v>
      </c>
      <c r="AG3" s="57" t="s">
        <v>137</v>
      </c>
      <c r="AH3" s="40" t="s">
        <v>24</v>
      </c>
      <c r="AI3" s="30">
        <v>16199999.927999999</v>
      </c>
      <c r="AK3" s="37"/>
      <c r="AL3" s="3" t="s">
        <v>7</v>
      </c>
      <c r="AM3" s="33">
        <v>102672000</v>
      </c>
      <c r="AO3" s="37"/>
      <c r="AP3" s="3" t="s">
        <v>17</v>
      </c>
      <c r="AQ3" s="33">
        <v>13860000</v>
      </c>
      <c r="AS3" s="37"/>
      <c r="AT3" s="3" t="s">
        <v>12</v>
      </c>
      <c r="AU3" s="33">
        <v>61736106.231000006</v>
      </c>
    </row>
    <row r="4" spans="1:47" ht="25" customHeight="1" x14ac:dyDescent="0.25">
      <c r="A4" s="11">
        <v>1</v>
      </c>
      <c r="B4" s="23" t="s">
        <v>4</v>
      </c>
      <c r="C4" s="32">
        <v>821759065.13850009</v>
      </c>
      <c r="D4" s="26"/>
      <c r="E4" s="11">
        <v>1</v>
      </c>
      <c r="F4" s="23" t="s">
        <v>4</v>
      </c>
      <c r="G4" s="32">
        <v>821759065.13850009</v>
      </c>
      <c r="I4" s="37"/>
      <c r="J4" s="3" t="s">
        <v>107</v>
      </c>
      <c r="K4" s="33">
        <v>16200000</v>
      </c>
      <c r="M4" s="50"/>
      <c r="N4" s="51" t="s">
        <v>5</v>
      </c>
      <c r="O4" s="52">
        <v>4821300</v>
      </c>
      <c r="Q4" s="37"/>
      <c r="R4" s="3" t="s">
        <v>10</v>
      </c>
      <c r="S4" s="33">
        <v>18648954</v>
      </c>
      <c r="U4" s="37"/>
      <c r="V4" s="3" t="s">
        <v>17</v>
      </c>
      <c r="W4" s="33">
        <v>5678400</v>
      </c>
      <c r="Y4" s="37"/>
      <c r="Z4" s="3" t="s">
        <v>111</v>
      </c>
      <c r="AA4" s="33">
        <v>8146600</v>
      </c>
      <c r="AC4" s="37"/>
      <c r="AD4" s="3" t="s">
        <v>37</v>
      </c>
      <c r="AE4" s="33">
        <v>4048053.36</v>
      </c>
      <c r="AG4" s="37"/>
      <c r="AH4" s="3" t="s">
        <v>13</v>
      </c>
      <c r="AI4" s="33">
        <v>15840000</v>
      </c>
      <c r="AK4" s="37"/>
      <c r="AL4" s="3" t="s">
        <v>14</v>
      </c>
      <c r="AM4" s="33">
        <v>20237895.359999999</v>
      </c>
      <c r="AO4" s="37"/>
      <c r="AP4" s="3" t="s">
        <v>41</v>
      </c>
      <c r="AQ4" s="33">
        <v>9720000</v>
      </c>
      <c r="AS4" s="37"/>
      <c r="AT4" s="3" t="s">
        <v>18</v>
      </c>
      <c r="AU4" s="33">
        <v>24293422.799999997</v>
      </c>
    </row>
    <row r="5" spans="1:47" ht="25" customHeight="1" x14ac:dyDescent="0.25">
      <c r="A5" s="11">
        <v>2</v>
      </c>
      <c r="B5" s="3" t="s">
        <v>7</v>
      </c>
      <c r="C5" s="33">
        <v>102672000</v>
      </c>
      <c r="E5" s="11">
        <v>2</v>
      </c>
      <c r="F5" s="3" t="s">
        <v>97</v>
      </c>
      <c r="G5" s="33">
        <v>226719285.05050001</v>
      </c>
      <c r="H5" s="10"/>
      <c r="I5" s="37"/>
      <c r="J5" s="3" t="s">
        <v>10</v>
      </c>
      <c r="K5" s="33">
        <v>11850896</v>
      </c>
      <c r="M5" s="50"/>
      <c r="N5" s="51" t="s">
        <v>8</v>
      </c>
      <c r="O5" s="52">
        <v>3622500</v>
      </c>
      <c r="Q5" s="37"/>
      <c r="R5" s="3" t="s">
        <v>21</v>
      </c>
      <c r="S5" s="33">
        <v>10341982.800000001</v>
      </c>
      <c r="U5" s="37"/>
      <c r="V5" s="3" t="s">
        <v>8</v>
      </c>
      <c r="W5" s="33">
        <v>4410151.7895000009</v>
      </c>
      <c r="Y5" s="37"/>
      <c r="Z5" s="3" t="s">
        <v>120</v>
      </c>
      <c r="AA5" s="33">
        <v>3150000</v>
      </c>
      <c r="AC5" s="37"/>
      <c r="AD5" s="3" t="s">
        <v>121</v>
      </c>
      <c r="AE5" s="33">
        <v>1852065</v>
      </c>
      <c r="AG5" s="37"/>
      <c r="AH5" s="3" t="s">
        <v>111</v>
      </c>
      <c r="AI5" s="33">
        <v>13500000</v>
      </c>
      <c r="AK5" s="37"/>
      <c r="AL5" s="3" t="s">
        <v>48</v>
      </c>
      <c r="AM5" s="33">
        <v>3759210</v>
      </c>
      <c r="AO5" s="37"/>
      <c r="AP5" s="3" t="s">
        <v>42</v>
      </c>
      <c r="AQ5" s="33">
        <v>7800000</v>
      </c>
      <c r="AS5" s="37"/>
      <c r="AT5" s="3" t="s">
        <v>119</v>
      </c>
      <c r="AU5" s="33">
        <v>18144000</v>
      </c>
    </row>
    <row r="6" spans="1:47" ht="25" customHeight="1" x14ac:dyDescent="0.25">
      <c r="A6" s="11">
        <v>3</v>
      </c>
      <c r="B6" s="3" t="s">
        <v>12</v>
      </c>
      <c r="C6" s="33">
        <v>65114402.930999994</v>
      </c>
      <c r="E6" s="11">
        <v>3</v>
      </c>
      <c r="F6" s="3" t="s">
        <v>98</v>
      </c>
      <c r="G6" s="33">
        <v>148689988.80000001</v>
      </c>
      <c r="H6" s="10"/>
      <c r="I6" s="37"/>
      <c r="J6" s="3" t="s">
        <v>5</v>
      </c>
      <c r="K6" s="33">
        <v>11543269.5</v>
      </c>
      <c r="M6" s="50"/>
      <c r="N6" s="51" t="s">
        <v>12</v>
      </c>
      <c r="O6" s="52">
        <v>3378296.7</v>
      </c>
      <c r="Q6" s="37"/>
      <c r="R6" s="3" t="s">
        <v>18</v>
      </c>
      <c r="S6" s="33">
        <v>8886240</v>
      </c>
      <c r="U6" s="37"/>
      <c r="V6" s="3" t="s">
        <v>29</v>
      </c>
      <c r="W6" s="33">
        <v>3508063.2</v>
      </c>
      <c r="Y6" s="37"/>
      <c r="Z6" s="3" t="s">
        <v>8</v>
      </c>
      <c r="AA6" s="33">
        <v>2875000</v>
      </c>
      <c r="AC6" s="37"/>
      <c r="AD6" s="3" t="s">
        <v>79</v>
      </c>
      <c r="AE6" s="33">
        <v>734000</v>
      </c>
      <c r="AG6" s="37"/>
      <c r="AH6" s="3" t="s">
        <v>6</v>
      </c>
      <c r="AI6" s="33">
        <v>9900000</v>
      </c>
      <c r="AK6" s="37"/>
      <c r="AL6" s="3" t="s">
        <v>62</v>
      </c>
      <c r="AM6" s="33">
        <v>2973555</v>
      </c>
      <c r="AP6" s="3" t="s">
        <v>80</v>
      </c>
      <c r="AQ6" s="33">
        <v>7371000</v>
      </c>
      <c r="AS6" s="37"/>
      <c r="AT6" s="3" t="s">
        <v>5</v>
      </c>
      <c r="AU6" s="33">
        <v>16095893.399999999</v>
      </c>
    </row>
    <row r="7" spans="1:47" ht="25" customHeight="1" thickBot="1" x14ac:dyDescent="0.3">
      <c r="A7" s="11">
        <v>4</v>
      </c>
      <c r="B7" s="3" t="s">
        <v>6</v>
      </c>
      <c r="C7" s="33">
        <v>62550000</v>
      </c>
      <c r="E7" s="11">
        <v>4</v>
      </c>
      <c r="F7" s="3" t="s">
        <v>101</v>
      </c>
      <c r="G7" s="33">
        <v>127836306.90000001</v>
      </c>
      <c r="H7" s="10"/>
      <c r="I7" s="37"/>
      <c r="J7" s="3" t="s">
        <v>18</v>
      </c>
      <c r="K7" s="33">
        <v>10830105</v>
      </c>
      <c r="M7" s="50"/>
      <c r="N7" s="51" t="s">
        <v>48</v>
      </c>
      <c r="O7" s="52">
        <v>3080000</v>
      </c>
      <c r="Q7" s="37"/>
      <c r="R7" s="3" t="s">
        <v>52</v>
      </c>
      <c r="S7" s="33">
        <v>7920000</v>
      </c>
      <c r="U7" s="37"/>
      <c r="V7" s="3" t="s">
        <v>53</v>
      </c>
      <c r="W7" s="33">
        <v>2037420</v>
      </c>
      <c r="Y7" s="37"/>
      <c r="Z7" s="3" t="s">
        <v>64</v>
      </c>
      <c r="AA7" s="33">
        <v>2640000</v>
      </c>
      <c r="AC7" s="38"/>
      <c r="AD7" s="34" t="s">
        <v>114</v>
      </c>
      <c r="AE7" s="35">
        <v>258464</v>
      </c>
      <c r="AG7" s="37"/>
      <c r="AH7" s="3" t="s">
        <v>35</v>
      </c>
      <c r="AI7" s="33">
        <v>8500000</v>
      </c>
      <c r="AK7" s="37"/>
      <c r="AL7" s="3" t="s">
        <v>65</v>
      </c>
      <c r="AM7" s="33">
        <v>2516085</v>
      </c>
      <c r="AO7" s="37"/>
      <c r="AP7" s="3" t="s">
        <v>116</v>
      </c>
      <c r="AQ7" s="33">
        <v>7200000</v>
      </c>
      <c r="AS7" s="37"/>
      <c r="AT7" s="3" t="s">
        <v>10</v>
      </c>
      <c r="AU7" s="33">
        <v>16029000</v>
      </c>
    </row>
    <row r="8" spans="1:47" ht="25" customHeight="1" x14ac:dyDescent="0.25">
      <c r="A8" s="11">
        <v>5</v>
      </c>
      <c r="B8" s="3" t="s">
        <v>5</v>
      </c>
      <c r="C8" s="33">
        <v>49664930.399999999</v>
      </c>
      <c r="E8" s="11">
        <v>5</v>
      </c>
      <c r="F8" s="3" t="s">
        <v>99</v>
      </c>
      <c r="G8" s="33">
        <v>89928930.328000009</v>
      </c>
      <c r="H8" s="10"/>
      <c r="I8" s="37"/>
      <c r="J8" s="3" t="s">
        <v>39</v>
      </c>
      <c r="K8" s="33">
        <v>7560000</v>
      </c>
      <c r="M8" s="50"/>
      <c r="N8" s="51" t="s">
        <v>49</v>
      </c>
      <c r="O8" s="52">
        <v>2800000</v>
      </c>
      <c r="Q8" s="37"/>
      <c r="R8" s="3" t="s">
        <v>109</v>
      </c>
      <c r="S8" s="33">
        <v>5418288</v>
      </c>
      <c r="U8" s="37"/>
      <c r="V8" s="3" t="s">
        <v>112</v>
      </c>
      <c r="W8" s="33">
        <v>1961506.8</v>
      </c>
      <c r="Y8" s="37"/>
      <c r="Z8" s="3" t="s">
        <v>17</v>
      </c>
      <c r="AA8" s="33">
        <v>2432430</v>
      </c>
      <c r="AE8" s="10">
        <f>SUM(AE2:AE7)</f>
        <v>26658866.759999998</v>
      </c>
      <c r="AG8" s="37"/>
      <c r="AH8" s="3" t="s">
        <v>8</v>
      </c>
      <c r="AI8" s="33">
        <v>8032500</v>
      </c>
      <c r="AK8" s="37"/>
      <c r="AL8" s="3" t="s">
        <v>66</v>
      </c>
      <c r="AM8" s="33">
        <v>2506140</v>
      </c>
      <c r="AO8" s="37"/>
      <c r="AP8" s="3" t="s">
        <v>115</v>
      </c>
      <c r="AQ8" s="33">
        <v>5385600</v>
      </c>
      <c r="AS8" s="37"/>
      <c r="AT8" s="3" t="s">
        <v>6</v>
      </c>
      <c r="AU8" s="33">
        <v>12150000</v>
      </c>
    </row>
    <row r="9" spans="1:47" ht="25" customHeight="1" thickBot="1" x14ac:dyDescent="0.3">
      <c r="A9" s="11">
        <v>6</v>
      </c>
      <c r="B9" s="3" t="s">
        <v>10</v>
      </c>
      <c r="C9" s="33">
        <v>46528850</v>
      </c>
      <c r="E9" s="11">
        <v>6</v>
      </c>
      <c r="F9" s="3" t="s">
        <v>100</v>
      </c>
      <c r="G9" s="33">
        <v>88729933.099999994</v>
      </c>
      <c r="H9" s="10"/>
      <c r="I9" s="37"/>
      <c r="J9" s="3" t="s">
        <v>21</v>
      </c>
      <c r="K9" s="33">
        <v>5919649.2000000002</v>
      </c>
      <c r="M9" s="50"/>
      <c r="N9" s="51" t="s">
        <v>114</v>
      </c>
      <c r="O9" s="52">
        <v>1437500</v>
      </c>
      <c r="Q9" s="37"/>
      <c r="R9" s="3" t="s">
        <v>22</v>
      </c>
      <c r="S9" s="33">
        <v>5250000</v>
      </c>
      <c r="U9" s="37"/>
      <c r="V9" s="3" t="s">
        <v>72</v>
      </c>
      <c r="W9" s="33">
        <v>1720000</v>
      </c>
      <c r="Y9" s="37"/>
      <c r="Z9" s="3" t="s">
        <v>13</v>
      </c>
      <c r="AA9" s="33">
        <v>2273417.1</v>
      </c>
      <c r="AG9" s="37"/>
      <c r="AH9" s="3" t="s">
        <v>57</v>
      </c>
      <c r="AI9" s="33">
        <v>7200000</v>
      </c>
      <c r="AK9" s="38"/>
      <c r="AL9" s="34" t="s">
        <v>13</v>
      </c>
      <c r="AM9" s="35">
        <v>1768000</v>
      </c>
      <c r="AO9" s="37"/>
      <c r="AP9" s="3" t="s">
        <v>14</v>
      </c>
      <c r="AQ9" s="33">
        <v>3300000</v>
      </c>
      <c r="AS9" s="37"/>
      <c r="AT9" s="3" t="s">
        <v>8</v>
      </c>
      <c r="AU9" s="33">
        <v>9945000</v>
      </c>
    </row>
    <row r="10" spans="1:47" ht="25" customHeight="1" thickBot="1" x14ac:dyDescent="0.3">
      <c r="A10" s="11">
        <v>7</v>
      </c>
      <c r="B10" s="3" t="s">
        <v>18</v>
      </c>
      <c r="C10" s="33">
        <v>44009767.799999997</v>
      </c>
      <c r="E10" s="11">
        <v>7</v>
      </c>
      <c r="F10" s="3" t="s">
        <v>105</v>
      </c>
      <c r="G10" s="33">
        <v>30574011.600000001</v>
      </c>
      <c r="H10" s="10"/>
      <c r="I10" s="37"/>
      <c r="J10" s="3" t="s">
        <v>17</v>
      </c>
      <c r="K10" s="33">
        <v>5765760</v>
      </c>
      <c r="M10" s="53"/>
      <c r="N10" s="54" t="s">
        <v>124</v>
      </c>
      <c r="O10" s="55">
        <v>1170000</v>
      </c>
      <c r="Q10" s="37"/>
      <c r="R10" s="3" t="s">
        <v>53</v>
      </c>
      <c r="S10" s="33">
        <v>3572186.4000000004</v>
      </c>
      <c r="U10" s="37"/>
      <c r="V10" s="3" t="s">
        <v>75</v>
      </c>
      <c r="W10" s="33">
        <v>1230769.2</v>
      </c>
      <c r="Y10" s="37"/>
      <c r="Z10" s="3" t="s">
        <v>53</v>
      </c>
      <c r="AA10" s="33">
        <v>1485000</v>
      </c>
      <c r="AG10" s="37"/>
      <c r="AH10" s="3" t="s">
        <v>45</v>
      </c>
      <c r="AI10" s="33">
        <v>5346000</v>
      </c>
      <c r="AM10" s="10">
        <f>SUM(AM3:AM9)</f>
        <v>136432885.36000001</v>
      </c>
      <c r="AO10" s="38"/>
      <c r="AP10" s="34" t="s">
        <v>67</v>
      </c>
      <c r="AQ10" s="35">
        <v>2412000</v>
      </c>
      <c r="AS10" s="38"/>
      <c r="AT10" s="34" t="s">
        <v>56</v>
      </c>
      <c r="AU10" s="35">
        <v>6960441.5999999996</v>
      </c>
    </row>
    <row r="11" spans="1:47" ht="25" customHeight="1" x14ac:dyDescent="0.25">
      <c r="A11" s="11">
        <v>8</v>
      </c>
      <c r="B11" s="3" t="s">
        <v>115</v>
      </c>
      <c r="C11" s="33">
        <v>43411600</v>
      </c>
      <c r="E11" s="11">
        <v>8</v>
      </c>
      <c r="F11" s="3" t="s">
        <v>103</v>
      </c>
      <c r="G11" s="33">
        <v>29132150</v>
      </c>
      <c r="I11" s="37"/>
      <c r="J11" s="3" t="s">
        <v>57</v>
      </c>
      <c r="K11" s="33">
        <v>5600000</v>
      </c>
      <c r="M11" s="51"/>
      <c r="O11" s="10">
        <f>SUM(O2:O10)</f>
        <v>42164032.620000005</v>
      </c>
      <c r="P11" s="10"/>
      <c r="Q11" s="37"/>
      <c r="R11" s="3" t="s">
        <v>55</v>
      </c>
      <c r="S11" s="33">
        <v>3537000</v>
      </c>
      <c r="U11" s="37"/>
      <c r="V11" s="3" t="s">
        <v>76</v>
      </c>
      <c r="W11" s="33">
        <v>1230769.2</v>
      </c>
      <c r="Y11" s="37"/>
      <c r="Z11" s="3" t="s">
        <v>86</v>
      </c>
      <c r="AA11" s="33">
        <v>1138500</v>
      </c>
      <c r="AG11" s="37"/>
      <c r="AH11" s="3" t="s">
        <v>123</v>
      </c>
      <c r="AI11" s="33">
        <v>4050000</v>
      </c>
      <c r="AQ11" s="10">
        <f>SUM(AQ3:AQ10)</f>
        <v>57048600</v>
      </c>
      <c r="AU11" s="10">
        <f>SUM(AU3:AU10)</f>
        <v>165353864.03099999</v>
      </c>
    </row>
    <row r="12" spans="1:47" ht="25" customHeight="1" thickBot="1" x14ac:dyDescent="0.3">
      <c r="A12" s="11">
        <v>9</v>
      </c>
      <c r="B12" s="3" t="s">
        <v>17</v>
      </c>
      <c r="C12" s="33">
        <v>33951025.920000002</v>
      </c>
      <c r="E12" s="11">
        <v>9</v>
      </c>
      <c r="F12" s="3" t="s">
        <v>102</v>
      </c>
      <c r="G12" s="33">
        <v>23749159.359999999</v>
      </c>
      <c r="I12" s="37"/>
      <c r="J12" s="3" t="s">
        <v>33</v>
      </c>
      <c r="K12" s="33">
        <v>3948922.8</v>
      </c>
      <c r="M12" s="51"/>
      <c r="Q12" s="37"/>
      <c r="R12" s="3" t="s">
        <v>60</v>
      </c>
      <c r="S12" s="33">
        <v>2880000</v>
      </c>
      <c r="U12" s="38"/>
      <c r="V12" s="34" t="s">
        <v>84</v>
      </c>
      <c r="W12" s="35">
        <v>0</v>
      </c>
      <c r="Y12" s="37"/>
      <c r="Z12" s="3" t="s">
        <v>35</v>
      </c>
      <c r="AA12" s="33">
        <v>924000.00000000012</v>
      </c>
      <c r="AG12" s="37"/>
      <c r="AH12" s="3" t="s">
        <v>40</v>
      </c>
      <c r="AI12" s="33">
        <v>3564000</v>
      </c>
      <c r="AU12" s="10"/>
    </row>
    <row r="13" spans="1:47" ht="25" customHeight="1" thickBot="1" x14ac:dyDescent="0.3">
      <c r="A13" s="11">
        <v>10</v>
      </c>
      <c r="B13" s="3" t="s">
        <v>8</v>
      </c>
      <c r="C13" s="33">
        <v>28885151.789500002</v>
      </c>
      <c r="E13" s="11">
        <v>10</v>
      </c>
      <c r="F13" s="3" t="s">
        <v>106</v>
      </c>
      <c r="G13" s="33">
        <v>22476600</v>
      </c>
      <c r="I13" s="37"/>
      <c r="J13" s="3" t="s">
        <v>109</v>
      </c>
      <c r="K13" s="33">
        <v>3639003.3000000003</v>
      </c>
      <c r="M13" s="51"/>
      <c r="Q13" s="37"/>
      <c r="R13" s="3" t="s">
        <v>43</v>
      </c>
      <c r="S13" s="33">
        <v>2727618.3</v>
      </c>
      <c r="W13" s="10">
        <f>SUM(W3:W12)</f>
        <v>38981547.689500004</v>
      </c>
      <c r="Y13" s="38"/>
      <c r="Z13" s="34" t="s">
        <v>87</v>
      </c>
      <c r="AA13" s="35">
        <v>528000</v>
      </c>
      <c r="AG13" s="37"/>
      <c r="AH13" s="3" t="s">
        <v>109</v>
      </c>
      <c r="AI13" s="33">
        <v>2700000</v>
      </c>
      <c r="AU13" s="10"/>
    </row>
    <row r="14" spans="1:47" ht="25" customHeight="1" x14ac:dyDescent="0.25">
      <c r="A14" s="11">
        <v>11</v>
      </c>
      <c r="B14" s="3" t="s">
        <v>111</v>
      </c>
      <c r="C14" s="33">
        <v>21646600</v>
      </c>
      <c r="E14" s="11">
        <v>11</v>
      </c>
      <c r="F14" s="3" t="s">
        <v>126</v>
      </c>
      <c r="G14" s="33">
        <v>7920000</v>
      </c>
      <c r="I14" s="37"/>
      <c r="J14" s="3" t="s">
        <v>117</v>
      </c>
      <c r="K14" s="33">
        <v>3600000</v>
      </c>
      <c r="M14" s="51"/>
      <c r="Q14" s="37"/>
      <c r="R14" s="3" t="s">
        <v>122</v>
      </c>
      <c r="S14" s="33">
        <v>2160000</v>
      </c>
      <c r="AA14" s="10">
        <f>SUM(AA3:AA13)</f>
        <v>47978947.100000001</v>
      </c>
      <c r="AG14" s="37"/>
      <c r="AH14" s="3" t="s">
        <v>53</v>
      </c>
      <c r="AI14" s="33">
        <v>2363486.4</v>
      </c>
      <c r="AU14" s="10"/>
    </row>
    <row r="15" spans="1:47" ht="25" customHeight="1" thickBot="1" x14ac:dyDescent="0.3">
      <c r="A15" s="11">
        <v>12</v>
      </c>
      <c r="B15" s="3" t="s">
        <v>11</v>
      </c>
      <c r="C15" s="33">
        <v>20237895.359999999</v>
      </c>
      <c r="E15" s="25">
        <v>12</v>
      </c>
      <c r="F15" s="34" t="s">
        <v>125</v>
      </c>
      <c r="G15" s="35">
        <v>1437500</v>
      </c>
      <c r="I15" s="37"/>
      <c r="J15" s="3" t="s">
        <v>43</v>
      </c>
      <c r="K15" s="33">
        <v>2933488.8</v>
      </c>
      <c r="M15" s="51"/>
      <c r="Q15" s="37"/>
      <c r="R15" s="3" t="s">
        <v>61</v>
      </c>
      <c r="S15" s="33">
        <v>1890000</v>
      </c>
      <c r="AG15" s="38"/>
      <c r="AH15" s="34" t="s">
        <v>70</v>
      </c>
      <c r="AI15" s="35">
        <v>2000000</v>
      </c>
      <c r="AU15" s="10"/>
    </row>
    <row r="16" spans="1:47" ht="25" customHeight="1" thickBot="1" x14ac:dyDescent="0.3">
      <c r="A16" s="11">
        <v>13</v>
      </c>
      <c r="B16" s="3" t="s">
        <v>13</v>
      </c>
      <c r="C16" s="33">
        <v>19881417.100000001</v>
      </c>
      <c r="F16" s="24"/>
      <c r="I16" s="37"/>
      <c r="J16" s="3" t="s">
        <v>108</v>
      </c>
      <c r="K16" s="33">
        <v>2750000</v>
      </c>
      <c r="M16" s="51"/>
      <c r="Q16" s="38"/>
      <c r="R16" s="34" t="s">
        <v>110</v>
      </c>
      <c r="S16" s="35">
        <v>1350000</v>
      </c>
      <c r="AI16" s="10">
        <f>SUM(AI3:AI15)</f>
        <v>99195986.328000009</v>
      </c>
      <c r="AU16" s="10"/>
    </row>
    <row r="17" spans="1:47" ht="25" customHeight="1" x14ac:dyDescent="0.25">
      <c r="A17" s="11">
        <v>14</v>
      </c>
      <c r="B17" s="3" t="s">
        <v>119</v>
      </c>
      <c r="C17" s="33">
        <v>18144000</v>
      </c>
      <c r="I17" s="37"/>
      <c r="J17" s="3" t="s">
        <v>110</v>
      </c>
      <c r="K17" s="33">
        <v>2160000</v>
      </c>
      <c r="M17" s="51"/>
      <c r="S17" s="10">
        <f>SUM(S3:S16)</f>
        <v>96452269.5</v>
      </c>
      <c r="T17" s="10"/>
      <c r="AU17" s="10"/>
    </row>
    <row r="18" spans="1:47" ht="25" customHeight="1" x14ac:dyDescent="0.25">
      <c r="A18" s="11">
        <v>15</v>
      </c>
      <c r="B18" s="3" t="s">
        <v>21</v>
      </c>
      <c r="C18" s="33">
        <v>16261632</v>
      </c>
      <c r="I18" s="37"/>
      <c r="J18" s="3" t="s">
        <v>61</v>
      </c>
      <c r="K18" s="33">
        <v>935550</v>
      </c>
      <c r="M18" s="51"/>
      <c r="AU18" s="10"/>
    </row>
    <row r="19" spans="1:47" ht="25" customHeight="1" thickBot="1" x14ac:dyDescent="0.3">
      <c r="A19" s="11">
        <v>16</v>
      </c>
      <c r="B19" s="3" t="s">
        <v>107</v>
      </c>
      <c r="C19" s="33">
        <v>16200000</v>
      </c>
      <c r="I19" s="38"/>
      <c r="J19" s="34" t="s">
        <v>82</v>
      </c>
      <c r="K19" s="35">
        <v>675000</v>
      </c>
      <c r="M19" s="51"/>
      <c r="AU19" s="10"/>
    </row>
    <row r="20" spans="1:47" ht="25" customHeight="1" x14ac:dyDescent="0.25">
      <c r="A20" s="11">
        <v>17</v>
      </c>
      <c r="B20" s="3" t="s">
        <v>24</v>
      </c>
      <c r="C20" s="33">
        <v>16199999.927999999</v>
      </c>
      <c r="K20" s="10">
        <f>SUM(K3:K19)</f>
        <v>114541644.59999999</v>
      </c>
      <c r="M20" s="51"/>
      <c r="AU20" s="10"/>
    </row>
    <row r="21" spans="1:47" ht="25" customHeight="1" x14ac:dyDescent="0.25">
      <c r="A21" s="11">
        <v>18</v>
      </c>
      <c r="B21" s="3" t="s">
        <v>57</v>
      </c>
      <c r="C21" s="33">
        <v>12800000</v>
      </c>
      <c r="AU21" s="10"/>
    </row>
    <row r="22" spans="1:47" ht="25" customHeight="1" x14ac:dyDescent="0.25">
      <c r="A22" s="11">
        <v>19</v>
      </c>
      <c r="B22" s="3" t="s">
        <v>109</v>
      </c>
      <c r="C22" s="33">
        <v>11757291.300000001</v>
      </c>
      <c r="AU22" s="10"/>
    </row>
    <row r="23" spans="1:47" ht="25" customHeight="1" thickBot="1" x14ac:dyDescent="0.3">
      <c r="A23" s="20">
        <v>20</v>
      </c>
      <c r="B23" s="3" t="s">
        <v>36</v>
      </c>
      <c r="C23" s="33">
        <v>10000000</v>
      </c>
      <c r="AU23" s="10"/>
    </row>
    <row r="24" spans="1:47" ht="25" customHeight="1" x14ac:dyDescent="0.25">
      <c r="A24" s="37"/>
      <c r="B24" s="3" t="s">
        <v>41</v>
      </c>
      <c r="C24" s="33">
        <v>9720000</v>
      </c>
      <c r="AU24" s="10"/>
    </row>
    <row r="25" spans="1:47" ht="25" customHeight="1" x14ac:dyDescent="0.25">
      <c r="A25" s="37"/>
      <c r="B25" s="3" t="s">
        <v>53</v>
      </c>
      <c r="C25" s="33">
        <v>9458092.8000000007</v>
      </c>
      <c r="AU25" s="10"/>
    </row>
    <row r="26" spans="1:47" ht="25" customHeight="1" x14ac:dyDescent="0.25">
      <c r="A26" s="37"/>
      <c r="B26" s="3" t="s">
        <v>35</v>
      </c>
      <c r="C26" s="33">
        <v>9424000</v>
      </c>
    </row>
    <row r="27" spans="1:47" ht="25" customHeight="1" x14ac:dyDescent="0.25">
      <c r="A27" s="37"/>
      <c r="B27" s="3" t="s">
        <v>52</v>
      </c>
      <c r="C27" s="33">
        <v>7920000</v>
      </c>
    </row>
    <row r="28" spans="1:47" ht="25" customHeight="1" x14ac:dyDescent="0.25">
      <c r="A28" s="37"/>
      <c r="B28" s="3" t="s">
        <v>42</v>
      </c>
      <c r="C28" s="33">
        <v>7800000</v>
      </c>
    </row>
    <row r="29" spans="1:47" ht="25" customHeight="1" x14ac:dyDescent="0.25">
      <c r="A29" s="37"/>
      <c r="B29" s="3" t="s">
        <v>39</v>
      </c>
      <c r="C29" s="33">
        <v>7560000</v>
      </c>
    </row>
    <row r="30" spans="1:47" ht="25" customHeight="1" x14ac:dyDescent="0.25">
      <c r="A30" s="37"/>
      <c r="B30" s="3" t="s">
        <v>80</v>
      </c>
      <c r="C30" s="33">
        <v>7371000</v>
      </c>
    </row>
    <row r="31" spans="1:47" ht="25" customHeight="1" x14ac:dyDescent="0.25">
      <c r="A31" s="37"/>
      <c r="B31" s="3" t="s">
        <v>116</v>
      </c>
      <c r="C31" s="33">
        <v>7200000</v>
      </c>
    </row>
    <row r="32" spans="1:47" ht="25" customHeight="1" x14ac:dyDescent="0.25">
      <c r="A32" s="37"/>
      <c r="B32" s="3" t="s">
        <v>56</v>
      </c>
      <c r="C32" s="33">
        <v>6960441.5999999996</v>
      </c>
    </row>
    <row r="33" spans="1:3" ht="25" customHeight="1" x14ac:dyDescent="0.25">
      <c r="A33" s="37"/>
      <c r="B33" s="3" t="s">
        <v>48</v>
      </c>
      <c r="C33" s="33">
        <v>6839210</v>
      </c>
    </row>
    <row r="34" spans="1:3" ht="25" customHeight="1" x14ac:dyDescent="0.25">
      <c r="A34" s="37"/>
      <c r="B34" s="3" t="s">
        <v>43</v>
      </c>
      <c r="C34" s="33">
        <v>5661107.0999999996</v>
      </c>
    </row>
    <row r="35" spans="1:3" ht="25" customHeight="1" x14ac:dyDescent="0.25">
      <c r="A35" s="37"/>
      <c r="B35" s="3" t="s">
        <v>45</v>
      </c>
      <c r="C35" s="33">
        <v>5346000</v>
      </c>
    </row>
    <row r="36" spans="1:3" ht="25" customHeight="1" x14ac:dyDescent="0.25">
      <c r="A36" s="37"/>
      <c r="B36" s="3" t="s">
        <v>22</v>
      </c>
      <c r="C36" s="33">
        <v>5250000</v>
      </c>
    </row>
    <row r="37" spans="1:3" ht="25" customHeight="1" x14ac:dyDescent="0.25">
      <c r="A37" s="37"/>
      <c r="B37" s="3" t="s">
        <v>123</v>
      </c>
      <c r="C37" s="33">
        <v>4050000</v>
      </c>
    </row>
    <row r="38" spans="1:3" ht="25" customHeight="1" x14ac:dyDescent="0.25">
      <c r="A38" s="37"/>
      <c r="B38" s="3" t="s">
        <v>37</v>
      </c>
      <c r="C38" s="33">
        <v>4048053.36</v>
      </c>
    </row>
    <row r="39" spans="1:3" ht="25" customHeight="1" x14ac:dyDescent="0.25">
      <c r="A39" s="37"/>
      <c r="B39" s="3" t="s">
        <v>33</v>
      </c>
      <c r="C39" s="33">
        <v>3948922.8</v>
      </c>
    </row>
    <row r="40" spans="1:3" ht="25" customHeight="1" x14ac:dyDescent="0.25">
      <c r="A40" s="37"/>
      <c r="B40" s="3" t="s">
        <v>117</v>
      </c>
      <c r="C40" s="33">
        <v>3600000</v>
      </c>
    </row>
    <row r="41" spans="1:3" ht="25" customHeight="1" x14ac:dyDescent="0.25">
      <c r="A41" s="37"/>
      <c r="B41" s="3" t="s">
        <v>40</v>
      </c>
      <c r="C41" s="33">
        <v>3564000</v>
      </c>
    </row>
    <row r="42" spans="1:3" ht="25" customHeight="1" x14ac:dyDescent="0.25">
      <c r="A42" s="37"/>
      <c r="B42" s="3" t="s">
        <v>55</v>
      </c>
      <c r="C42" s="33">
        <v>3537000</v>
      </c>
    </row>
    <row r="43" spans="1:3" ht="25" customHeight="1" x14ac:dyDescent="0.25">
      <c r="A43" s="37"/>
      <c r="B43" s="3" t="s">
        <v>110</v>
      </c>
      <c r="C43" s="33">
        <v>3510000</v>
      </c>
    </row>
    <row r="44" spans="1:3" ht="25" customHeight="1" x14ac:dyDescent="0.25">
      <c r="A44" s="37"/>
      <c r="B44" s="3" t="s">
        <v>29</v>
      </c>
      <c r="C44" s="33">
        <v>3508063.2</v>
      </c>
    </row>
    <row r="45" spans="1:3" ht="25" customHeight="1" x14ac:dyDescent="0.25">
      <c r="A45" s="37"/>
      <c r="B45" s="3" t="s">
        <v>14</v>
      </c>
      <c r="C45" s="33">
        <v>3300000</v>
      </c>
    </row>
    <row r="46" spans="1:3" ht="25" customHeight="1" x14ac:dyDescent="0.25">
      <c r="A46" s="37"/>
      <c r="B46" s="3" t="s">
        <v>120</v>
      </c>
      <c r="C46" s="33">
        <v>3150000</v>
      </c>
    </row>
    <row r="47" spans="1:3" ht="25" customHeight="1" x14ac:dyDescent="0.25">
      <c r="A47" s="37"/>
      <c r="B47" s="3" t="s">
        <v>62</v>
      </c>
      <c r="C47" s="33">
        <v>2973555</v>
      </c>
    </row>
    <row r="48" spans="1:3" ht="25" customHeight="1" x14ac:dyDescent="0.25">
      <c r="A48" s="37"/>
      <c r="B48" s="3" t="s">
        <v>60</v>
      </c>
      <c r="C48" s="33">
        <v>2880000</v>
      </c>
    </row>
    <row r="49" spans="1:3" ht="25" customHeight="1" x14ac:dyDescent="0.25">
      <c r="A49" s="37"/>
      <c r="B49" s="3" t="s">
        <v>61</v>
      </c>
      <c r="C49" s="33">
        <v>2825550</v>
      </c>
    </row>
    <row r="50" spans="1:3" ht="25" customHeight="1" x14ac:dyDescent="0.25">
      <c r="A50" s="37"/>
      <c r="B50" s="3" t="s">
        <v>49</v>
      </c>
      <c r="C50" s="33">
        <v>2800000</v>
      </c>
    </row>
    <row r="51" spans="1:3" ht="25" customHeight="1" x14ac:dyDescent="0.25">
      <c r="A51" s="37"/>
      <c r="B51" s="3" t="s">
        <v>108</v>
      </c>
      <c r="C51" s="33">
        <v>2750000</v>
      </c>
    </row>
    <row r="52" spans="1:3" ht="25" customHeight="1" x14ac:dyDescent="0.25">
      <c r="A52" s="37"/>
      <c r="B52" s="3" t="s">
        <v>64</v>
      </c>
      <c r="C52" s="33">
        <v>2640000</v>
      </c>
    </row>
    <row r="53" spans="1:3" ht="25" customHeight="1" x14ac:dyDescent="0.25">
      <c r="A53" s="37"/>
      <c r="B53" s="3" t="s">
        <v>65</v>
      </c>
      <c r="C53" s="33">
        <v>2516085</v>
      </c>
    </row>
    <row r="54" spans="1:3" ht="25" customHeight="1" x14ac:dyDescent="0.25">
      <c r="A54" s="37"/>
      <c r="B54" s="3" t="s">
        <v>66</v>
      </c>
      <c r="C54" s="33">
        <v>2506140</v>
      </c>
    </row>
    <row r="55" spans="1:3" ht="25" customHeight="1" x14ac:dyDescent="0.25">
      <c r="A55" s="37"/>
      <c r="B55" s="3" t="s">
        <v>67</v>
      </c>
      <c r="C55" s="33">
        <v>2412000</v>
      </c>
    </row>
    <row r="56" spans="1:3" ht="25" customHeight="1" x14ac:dyDescent="0.25">
      <c r="A56" s="37"/>
      <c r="B56" s="3" t="s">
        <v>122</v>
      </c>
      <c r="C56" s="33">
        <v>2160000</v>
      </c>
    </row>
    <row r="57" spans="1:3" ht="25" customHeight="1" x14ac:dyDescent="0.25">
      <c r="A57" s="37"/>
      <c r="B57" s="3" t="s">
        <v>70</v>
      </c>
      <c r="C57" s="33">
        <v>2000000</v>
      </c>
    </row>
    <row r="58" spans="1:3" ht="25" customHeight="1" x14ac:dyDescent="0.25">
      <c r="A58" s="37"/>
      <c r="B58" s="3" t="s">
        <v>112</v>
      </c>
      <c r="C58" s="33">
        <v>1961506.8</v>
      </c>
    </row>
    <row r="59" spans="1:3" ht="25" customHeight="1" x14ac:dyDescent="0.25">
      <c r="A59" s="37"/>
      <c r="B59" s="3" t="s">
        <v>121</v>
      </c>
      <c r="C59" s="33">
        <v>1852065</v>
      </c>
    </row>
    <row r="60" spans="1:3" ht="25" customHeight="1" x14ac:dyDescent="0.25">
      <c r="A60" s="37"/>
      <c r="B60" s="3" t="s">
        <v>72</v>
      </c>
      <c r="C60" s="33">
        <v>1720000</v>
      </c>
    </row>
    <row r="61" spans="1:3" ht="25" customHeight="1" x14ac:dyDescent="0.25">
      <c r="A61" s="37"/>
      <c r="B61" s="3" t="s">
        <v>114</v>
      </c>
      <c r="C61" s="33">
        <v>1695964</v>
      </c>
    </row>
    <row r="62" spans="1:3" ht="25" customHeight="1" x14ac:dyDescent="0.25">
      <c r="A62" s="37"/>
      <c r="B62" s="3" t="s">
        <v>76</v>
      </c>
      <c r="C62" s="33">
        <v>1230769.2</v>
      </c>
    </row>
    <row r="63" spans="1:3" ht="25" customHeight="1" x14ac:dyDescent="0.25">
      <c r="A63" s="37"/>
      <c r="B63" s="3" t="s">
        <v>75</v>
      </c>
      <c r="C63" s="33">
        <v>1230769.2</v>
      </c>
    </row>
    <row r="64" spans="1:3" ht="25" customHeight="1" x14ac:dyDescent="0.25">
      <c r="A64" s="37"/>
      <c r="B64" s="3" t="s">
        <v>124</v>
      </c>
      <c r="C64" s="33">
        <v>1170000</v>
      </c>
    </row>
    <row r="65" spans="1:3" ht="25" customHeight="1" x14ac:dyDescent="0.25">
      <c r="A65" s="37"/>
      <c r="B65" s="3" t="s">
        <v>86</v>
      </c>
      <c r="C65" s="33">
        <v>1138500</v>
      </c>
    </row>
    <row r="66" spans="1:3" ht="25" customHeight="1" x14ac:dyDescent="0.25">
      <c r="A66" s="37"/>
      <c r="B66" s="3" t="s">
        <v>79</v>
      </c>
      <c r="C66" s="33">
        <v>734000</v>
      </c>
    </row>
    <row r="67" spans="1:3" ht="25" customHeight="1" x14ac:dyDescent="0.25">
      <c r="A67" s="37"/>
      <c r="B67" s="3" t="s">
        <v>82</v>
      </c>
      <c r="C67" s="33">
        <v>675000</v>
      </c>
    </row>
    <row r="68" spans="1:3" ht="25" customHeight="1" thickBot="1" x14ac:dyDescent="0.3">
      <c r="A68" s="37"/>
      <c r="B68" s="34" t="s">
        <v>87</v>
      </c>
      <c r="C68" s="35">
        <v>528000</v>
      </c>
    </row>
    <row r="69" spans="1:3" ht="25" customHeight="1" x14ac:dyDescent="0.25">
      <c r="A69" s="37"/>
    </row>
    <row r="70" spans="1:3" ht="25" customHeight="1" thickBot="1" x14ac:dyDescent="0.3">
      <c r="A70" s="38"/>
    </row>
    <row r="95" spans="35:35" ht="25" customHeight="1" x14ac:dyDescent="0.25">
      <c r="AI95" s="10"/>
    </row>
    <row r="96" spans="35:35" ht="25" customHeight="1" x14ac:dyDescent="0.25">
      <c r="AI96" s="10"/>
    </row>
  </sheetData>
  <autoFilter ref="A1:AV70" xr:uid="{0162F9A7-D372-EC45-93AD-98667815A66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3F0AB-F145-5546-9F4D-1840A4DB1FD7}">
  <dimension ref="A1:BG168"/>
  <sheetViews>
    <sheetView topLeftCell="AH1" zoomScale="75" workbookViewId="0">
      <selection activeCell="I13" sqref="I13"/>
    </sheetView>
  </sheetViews>
  <sheetFormatPr baseColWidth="10" defaultRowHeight="25" x14ac:dyDescent="0.25"/>
  <cols>
    <col min="1" max="1" width="5.1640625" style="3" bestFit="1" customWidth="1"/>
    <col min="2" max="2" width="75.33203125" style="3" bestFit="1" customWidth="1"/>
    <col min="3" max="3" width="34.83203125" style="3" bestFit="1" customWidth="1"/>
    <col min="4" max="4" width="33.33203125" style="3" bestFit="1" customWidth="1"/>
    <col min="5" max="5" width="4.33203125" style="3" customWidth="1"/>
    <col min="6" max="6" width="10.83203125" style="3"/>
    <col min="7" max="7" width="5.1640625" style="3" bestFit="1" customWidth="1"/>
    <col min="8" max="8" width="73.33203125" style="3" bestFit="1" customWidth="1"/>
    <col min="9" max="9" width="36" style="3" bestFit="1" customWidth="1"/>
    <col min="10" max="10" width="33.33203125" style="3" bestFit="1" customWidth="1"/>
    <col min="11" max="11" width="10.83203125" style="3"/>
    <col min="12" max="12" width="5.1640625" style="3" bestFit="1" customWidth="1"/>
    <col min="13" max="13" width="60.83203125" style="3" bestFit="1" customWidth="1"/>
    <col min="14" max="14" width="34.83203125" style="3" bestFit="1" customWidth="1"/>
    <col min="15" max="17" width="10.83203125" style="3"/>
    <col min="18" max="18" width="68" style="10" bestFit="1" customWidth="1"/>
    <col min="19" max="19" width="64.1640625" style="10" bestFit="1" customWidth="1"/>
    <col min="20" max="21" width="30.33203125" style="10" bestFit="1" customWidth="1"/>
    <col min="22" max="22" width="28.1640625" style="10" bestFit="1" customWidth="1"/>
    <col min="23" max="23" width="25.5" style="10" bestFit="1" customWidth="1"/>
    <col min="24" max="24" width="28.5" style="10" bestFit="1" customWidth="1"/>
    <col min="25" max="25" width="10.83203125" style="10"/>
    <col min="26" max="26" width="40.83203125" style="10" bestFit="1" customWidth="1"/>
    <col min="27" max="27" width="73.5" style="10" bestFit="1" customWidth="1"/>
    <col min="28" max="28" width="30.33203125" style="10" bestFit="1" customWidth="1"/>
    <col min="29" max="29" width="10.83203125" style="10"/>
    <col min="30" max="30" width="38.6640625" style="10" bestFit="1" customWidth="1"/>
    <col min="31" max="31" width="59.6640625" style="10" bestFit="1" customWidth="1"/>
    <col min="32" max="32" width="30.33203125" style="10" bestFit="1" customWidth="1"/>
    <col min="33" max="33" width="10.83203125" style="10"/>
    <col min="34" max="34" width="40.33203125" style="10" bestFit="1" customWidth="1"/>
    <col min="35" max="35" width="42.1640625" style="10" bestFit="1" customWidth="1"/>
    <col min="36" max="36" width="28.5" style="10" bestFit="1" customWidth="1"/>
    <col min="37" max="37" width="10.83203125" style="10"/>
    <col min="38" max="38" width="10.83203125" style="10" bestFit="1" customWidth="1"/>
    <col min="39" max="39" width="36" style="10" bestFit="1" customWidth="1"/>
    <col min="40" max="40" width="28.5" style="10" bestFit="1" customWidth="1"/>
    <col min="41" max="42" width="10.83203125" style="10"/>
    <col min="43" max="43" width="40.1640625" style="10" bestFit="1" customWidth="1"/>
    <col min="44" max="44" width="42.1640625" style="10" bestFit="1" customWidth="1"/>
    <col min="45" max="45" width="30.33203125" style="10" bestFit="1" customWidth="1"/>
    <col min="46" max="46" width="10.83203125" style="10"/>
    <col min="47" max="47" width="17.1640625" style="10" bestFit="1" customWidth="1"/>
    <col min="48" max="48" width="42.1640625" style="10" bestFit="1" customWidth="1"/>
    <col min="49" max="49" width="30.33203125" style="10" bestFit="1" customWidth="1"/>
    <col min="50" max="51" width="10.83203125" style="10"/>
    <col min="52" max="52" width="21.5" style="10" bestFit="1" customWidth="1"/>
    <col min="53" max="53" width="47.6640625" style="10" bestFit="1" customWidth="1"/>
    <col min="54" max="54" width="28.5" style="10" bestFit="1" customWidth="1"/>
    <col min="55" max="55" width="10.83203125" style="10"/>
    <col min="56" max="56" width="23.5" style="10" bestFit="1" customWidth="1"/>
    <col min="57" max="57" width="59.6640625" style="10" bestFit="1" customWidth="1"/>
    <col min="58" max="58" width="30.33203125" style="10" bestFit="1" customWidth="1"/>
    <col min="59" max="59" width="10.83203125" style="10"/>
    <col min="60" max="16384" width="10.83203125" style="3"/>
  </cols>
  <sheetData>
    <row r="1" spans="1:58" ht="26" thickBot="1" x14ac:dyDescent="0.3">
      <c r="A1" s="1"/>
      <c r="B1" s="2" t="s">
        <v>0</v>
      </c>
      <c r="C1" s="1"/>
      <c r="G1" s="1"/>
      <c r="H1" s="2" t="s">
        <v>93</v>
      </c>
      <c r="I1" s="1"/>
      <c r="L1" s="1"/>
      <c r="M1" s="2" t="s">
        <v>95</v>
      </c>
      <c r="N1" s="1"/>
      <c r="R1" s="42" t="s">
        <v>146</v>
      </c>
    </row>
    <row r="2" spans="1:58" ht="26" thickBot="1" x14ac:dyDescent="0.3">
      <c r="A2" s="62"/>
      <c r="B2" s="4" t="s">
        <v>1</v>
      </c>
      <c r="C2" s="5" t="s">
        <v>2</v>
      </c>
      <c r="G2" s="1"/>
      <c r="H2" s="4" t="s">
        <v>1</v>
      </c>
      <c r="I2" s="9" t="s">
        <v>94</v>
      </c>
      <c r="L2" s="13" t="s">
        <v>3</v>
      </c>
      <c r="M2" s="16" t="s">
        <v>96</v>
      </c>
      <c r="N2" s="17" t="s">
        <v>2</v>
      </c>
      <c r="S2" s="10" t="s">
        <v>130</v>
      </c>
      <c r="T2" s="10" t="s">
        <v>113</v>
      </c>
      <c r="U2" s="3"/>
      <c r="W2" s="10" t="s">
        <v>130</v>
      </c>
      <c r="X2" s="10" t="s">
        <v>113</v>
      </c>
      <c r="Y2" s="3"/>
      <c r="AA2" s="10" t="s">
        <v>130</v>
      </c>
      <c r="AB2" s="10" t="s">
        <v>113</v>
      </c>
      <c r="AC2" s="3"/>
      <c r="AE2" s="10" t="s">
        <v>130</v>
      </c>
      <c r="AF2" s="10" t="s">
        <v>113</v>
      </c>
      <c r="AG2" s="3"/>
      <c r="AI2" s="10" t="s">
        <v>130</v>
      </c>
      <c r="AJ2" s="10" t="s">
        <v>113</v>
      </c>
      <c r="AK2" s="3"/>
      <c r="AM2" s="10" t="s">
        <v>130</v>
      </c>
      <c r="AN2" s="10" t="s">
        <v>113</v>
      </c>
      <c r="AP2" s="3"/>
      <c r="AR2" s="10" t="s">
        <v>130</v>
      </c>
      <c r="AS2" s="10" t="s">
        <v>113</v>
      </c>
      <c r="AT2" s="3"/>
      <c r="AV2" s="10" t="s">
        <v>130</v>
      </c>
      <c r="AW2" s="10" t="s">
        <v>113</v>
      </c>
      <c r="AY2" s="3"/>
      <c r="BA2" s="10" t="s">
        <v>130</v>
      </c>
      <c r="BB2" s="10" t="s">
        <v>113</v>
      </c>
      <c r="BC2" s="3"/>
      <c r="BE2" s="10" t="s">
        <v>130</v>
      </c>
      <c r="BF2" s="10" t="s">
        <v>113</v>
      </c>
    </row>
    <row r="3" spans="1:58" ht="26" thickBot="1" x14ac:dyDescent="0.3">
      <c r="A3" s="13" t="s">
        <v>3</v>
      </c>
      <c r="B3" s="7" t="s">
        <v>4</v>
      </c>
      <c r="C3" s="8">
        <v>1317375646.5036461</v>
      </c>
      <c r="D3" s="10"/>
      <c r="G3" s="13" t="s">
        <v>3</v>
      </c>
      <c r="H3" s="14" t="s">
        <v>4</v>
      </c>
      <c r="I3" s="15">
        <f>SUM(I4:I89)</f>
        <v>1077390773.7721462</v>
      </c>
      <c r="J3" s="10"/>
      <c r="L3" s="11">
        <v>1</v>
      </c>
      <c r="M3" s="18" t="s">
        <v>97</v>
      </c>
      <c r="N3" s="19">
        <v>238345974.89999998</v>
      </c>
      <c r="O3" s="1"/>
      <c r="R3" s="47" t="s">
        <v>131</v>
      </c>
      <c r="S3" s="43" t="s">
        <v>6</v>
      </c>
      <c r="T3" s="30">
        <v>41400000</v>
      </c>
      <c r="V3" s="47" t="s">
        <v>141</v>
      </c>
      <c r="W3" s="43" t="s">
        <v>16</v>
      </c>
      <c r="X3" s="30">
        <v>13800000</v>
      </c>
      <c r="Z3" s="47" t="s">
        <v>133</v>
      </c>
      <c r="AA3" s="43" t="s">
        <v>5</v>
      </c>
      <c r="AB3" s="30">
        <v>45995739.300000004</v>
      </c>
      <c r="AD3" s="47" t="s">
        <v>134</v>
      </c>
      <c r="AE3" s="43" t="s">
        <v>5</v>
      </c>
      <c r="AF3" s="30">
        <v>62916012.900000013</v>
      </c>
      <c r="AH3" s="47" t="s">
        <v>142</v>
      </c>
      <c r="AI3" s="43" t="s">
        <v>16</v>
      </c>
      <c r="AJ3" s="30">
        <v>20720000</v>
      </c>
      <c r="AL3" s="47" t="s">
        <v>136</v>
      </c>
      <c r="AM3" s="43" t="s">
        <v>23</v>
      </c>
      <c r="AN3" s="30">
        <v>12963633.949999999</v>
      </c>
      <c r="AQ3" s="47" t="s">
        <v>137</v>
      </c>
      <c r="AR3" s="43" t="s">
        <v>6</v>
      </c>
      <c r="AS3" s="30">
        <v>19800000</v>
      </c>
      <c r="AU3" s="47" t="s">
        <v>143</v>
      </c>
      <c r="AV3" s="43" t="s">
        <v>7</v>
      </c>
      <c r="AW3" s="30">
        <v>83421000</v>
      </c>
      <c r="AZ3" s="47" t="s">
        <v>144</v>
      </c>
      <c r="BA3" s="43" t="s">
        <v>17</v>
      </c>
      <c r="BB3" s="30">
        <v>12600000</v>
      </c>
      <c r="BD3" s="47" t="s">
        <v>145</v>
      </c>
      <c r="BE3" s="43" t="s">
        <v>19</v>
      </c>
      <c r="BF3" s="30">
        <v>29243418.740999997</v>
      </c>
    </row>
    <row r="4" spans="1:58" x14ac:dyDescent="0.25">
      <c r="A4" s="11">
        <v>1</v>
      </c>
      <c r="B4" s="1" t="s">
        <v>5</v>
      </c>
      <c r="C4" s="12">
        <v>156885627.10000002</v>
      </c>
      <c r="G4" s="11">
        <v>1</v>
      </c>
      <c r="H4" s="60" t="s">
        <v>5</v>
      </c>
      <c r="I4" s="61">
        <v>156885627.10000002</v>
      </c>
      <c r="L4" s="11">
        <v>2</v>
      </c>
      <c r="M4" s="18" t="s">
        <v>98</v>
      </c>
      <c r="N4" s="19">
        <v>235336974.90000001</v>
      </c>
      <c r="O4" s="1"/>
      <c r="R4" s="44"/>
      <c r="S4" s="10" t="s">
        <v>5</v>
      </c>
      <c r="T4" s="33">
        <v>40786218.899999999</v>
      </c>
      <c r="V4" s="44"/>
      <c r="W4" s="10" t="s">
        <v>5</v>
      </c>
      <c r="X4" s="33">
        <v>6574500</v>
      </c>
      <c r="Z4" s="44"/>
      <c r="AA4" s="10" t="s">
        <v>6</v>
      </c>
      <c r="AB4" s="33">
        <v>26730000</v>
      </c>
      <c r="AD4" s="44"/>
      <c r="AE4" s="10" t="s">
        <v>29</v>
      </c>
      <c r="AF4" s="33">
        <v>12622012.200000001</v>
      </c>
      <c r="AH4" s="44"/>
      <c r="AI4" s="10" t="s">
        <v>47</v>
      </c>
      <c r="AJ4" s="33">
        <v>4655200</v>
      </c>
      <c r="AL4" s="44"/>
      <c r="AM4" s="10" t="s">
        <v>36</v>
      </c>
      <c r="AN4" s="33">
        <v>10000000</v>
      </c>
      <c r="AQ4" s="44"/>
      <c r="AR4" s="10" t="s">
        <v>13</v>
      </c>
      <c r="AS4" s="33">
        <v>17280000</v>
      </c>
      <c r="AU4" s="44"/>
      <c r="AV4" s="10" t="s">
        <v>14</v>
      </c>
      <c r="AW4" s="33">
        <v>52520088.959999993</v>
      </c>
      <c r="AZ4" s="44"/>
      <c r="BA4" s="10" t="s">
        <v>14</v>
      </c>
      <c r="BB4" s="33">
        <v>8800000</v>
      </c>
      <c r="BD4" s="44"/>
      <c r="BE4" s="10" t="s">
        <v>6</v>
      </c>
      <c r="BF4" s="33">
        <v>27000000</v>
      </c>
    </row>
    <row r="5" spans="1:58" x14ac:dyDescent="0.25">
      <c r="A5" s="11">
        <v>2</v>
      </c>
      <c r="B5" s="1" t="s">
        <v>6</v>
      </c>
      <c r="C5" s="12">
        <v>114930000</v>
      </c>
      <c r="G5" s="11">
        <v>2</v>
      </c>
      <c r="H5" s="60" t="s">
        <v>6</v>
      </c>
      <c r="I5" s="61">
        <v>114930000</v>
      </c>
      <c r="L5" s="11">
        <v>3</v>
      </c>
      <c r="M5" s="18" t="s">
        <v>99</v>
      </c>
      <c r="N5" s="19">
        <v>206400471.02800003</v>
      </c>
      <c r="O5" s="1"/>
      <c r="R5" s="44"/>
      <c r="S5" s="10" t="s">
        <v>12</v>
      </c>
      <c r="T5" s="33">
        <v>15084918</v>
      </c>
      <c r="V5" s="44"/>
      <c r="W5" s="10" t="s">
        <v>17</v>
      </c>
      <c r="X5" s="33">
        <v>5649487.1999999993</v>
      </c>
      <c r="Z5" s="44"/>
      <c r="AA5" s="10" t="s">
        <v>12</v>
      </c>
      <c r="AB5" s="33">
        <v>26658720</v>
      </c>
      <c r="AD5" s="44"/>
      <c r="AE5" s="10" t="s">
        <v>35</v>
      </c>
      <c r="AF5" s="33">
        <v>8500000</v>
      </c>
      <c r="AH5" s="44"/>
      <c r="AI5" s="10" t="s">
        <v>147</v>
      </c>
      <c r="AJ5" s="33">
        <v>3600000</v>
      </c>
      <c r="AL5" s="44"/>
      <c r="AM5" s="10" t="s">
        <v>17</v>
      </c>
      <c r="AN5" s="33">
        <v>6301404.3000000007</v>
      </c>
      <c r="AQ5" s="44"/>
      <c r="AR5" s="10" t="s">
        <v>24</v>
      </c>
      <c r="AS5" s="33">
        <v>16199999.927999999</v>
      </c>
      <c r="AU5" s="44"/>
      <c r="AV5" s="10" t="s">
        <v>148</v>
      </c>
      <c r="AW5" s="33">
        <v>15912000</v>
      </c>
      <c r="AZ5" s="44"/>
      <c r="BA5" s="10" t="s">
        <v>41</v>
      </c>
      <c r="BB5" s="33">
        <v>7290000</v>
      </c>
      <c r="BD5" s="44"/>
      <c r="BE5" s="10" t="s">
        <v>13</v>
      </c>
      <c r="BF5" s="33">
        <v>17550000</v>
      </c>
    </row>
    <row r="6" spans="1:58" x14ac:dyDescent="0.25">
      <c r="A6" s="11">
        <v>3</v>
      </c>
      <c r="B6" s="1" t="s">
        <v>14</v>
      </c>
      <c r="C6" s="12">
        <v>91329000</v>
      </c>
      <c r="G6" s="11">
        <v>3</v>
      </c>
      <c r="H6" s="60" t="s">
        <v>7</v>
      </c>
      <c r="I6" s="61">
        <v>83421000</v>
      </c>
      <c r="L6" s="11">
        <v>4</v>
      </c>
      <c r="M6" s="18" t="s">
        <v>100</v>
      </c>
      <c r="N6" s="19">
        <v>133397389.89999999</v>
      </c>
      <c r="O6" s="1"/>
      <c r="R6" s="44"/>
      <c r="S6" s="10" t="s">
        <v>10</v>
      </c>
      <c r="T6" s="33">
        <v>10369534</v>
      </c>
      <c r="V6" s="44"/>
      <c r="W6" s="10" t="s">
        <v>12</v>
      </c>
      <c r="X6" s="33">
        <v>3293211.6</v>
      </c>
      <c r="Z6" s="44"/>
      <c r="AA6" s="10" t="s">
        <v>10</v>
      </c>
      <c r="AB6" s="33">
        <v>22400000</v>
      </c>
      <c r="AD6" s="37"/>
      <c r="AE6" s="10" t="s">
        <v>15</v>
      </c>
      <c r="AF6" s="33">
        <v>6588000</v>
      </c>
      <c r="AH6" s="44"/>
      <c r="AI6" s="10" t="s">
        <v>13</v>
      </c>
      <c r="AJ6" s="33">
        <v>3182783.94</v>
      </c>
      <c r="AL6" s="44"/>
      <c r="AM6" s="10" t="s">
        <v>68</v>
      </c>
      <c r="AN6" s="33">
        <v>2408000</v>
      </c>
      <c r="AQ6" s="44"/>
      <c r="AR6" s="10" t="s">
        <v>26</v>
      </c>
      <c r="AS6" s="33">
        <v>15850000</v>
      </c>
      <c r="AU6" s="44"/>
      <c r="AV6" s="10" t="s">
        <v>23</v>
      </c>
      <c r="AW6" s="33">
        <v>3760931.25</v>
      </c>
      <c r="AZ6" s="44"/>
      <c r="BA6" s="10" t="s">
        <v>42</v>
      </c>
      <c r="BB6" s="33">
        <v>7200000</v>
      </c>
      <c r="BD6" s="44"/>
      <c r="BE6" s="10" t="s">
        <v>10</v>
      </c>
      <c r="BF6" s="33">
        <v>16029000</v>
      </c>
    </row>
    <row r="7" spans="1:58" x14ac:dyDescent="0.25">
      <c r="A7" s="11">
        <v>4</v>
      </c>
      <c r="B7" s="1" t="s">
        <v>7</v>
      </c>
      <c r="C7" s="12">
        <v>83421000</v>
      </c>
      <c r="G7" s="11">
        <v>4</v>
      </c>
      <c r="H7" s="60" t="s">
        <v>14</v>
      </c>
      <c r="I7" s="61">
        <v>61320088.959999993</v>
      </c>
      <c r="L7" s="11">
        <v>6</v>
      </c>
      <c r="M7" s="18" t="s">
        <v>102</v>
      </c>
      <c r="N7" s="19">
        <v>110712088.95999999</v>
      </c>
      <c r="O7" s="1"/>
      <c r="R7" s="44"/>
      <c r="S7" s="10" t="s">
        <v>39</v>
      </c>
      <c r="T7" s="33">
        <v>7560000</v>
      </c>
      <c r="V7" s="37"/>
      <c r="W7" s="10" t="s">
        <v>8</v>
      </c>
      <c r="X7" s="33">
        <v>2817500</v>
      </c>
      <c r="Z7" s="44"/>
      <c r="AA7" s="10" t="s">
        <v>22</v>
      </c>
      <c r="AB7" s="33">
        <v>8250000</v>
      </c>
      <c r="AD7" s="44"/>
      <c r="AE7" s="10" t="s">
        <v>8</v>
      </c>
      <c r="AF7" s="33">
        <v>4642669.6315000001</v>
      </c>
      <c r="AH7" s="44"/>
      <c r="AI7" s="10" t="s">
        <v>64</v>
      </c>
      <c r="AJ7" s="33">
        <v>2640000</v>
      </c>
      <c r="AL7" s="44"/>
      <c r="AM7" s="10" t="s">
        <v>74</v>
      </c>
      <c r="AN7" s="33">
        <v>1299352.5</v>
      </c>
      <c r="AQ7" s="37"/>
      <c r="AR7" s="10" t="s">
        <v>8</v>
      </c>
      <c r="AS7" s="33">
        <v>9450000</v>
      </c>
      <c r="AU7" s="44"/>
      <c r="AV7" s="10" t="s">
        <v>59</v>
      </c>
      <c r="AW7" s="33">
        <v>2880000</v>
      </c>
      <c r="AZ7" s="44"/>
      <c r="BA7" s="10" t="s">
        <v>67</v>
      </c>
      <c r="BB7" s="33">
        <v>2412000</v>
      </c>
      <c r="BD7" s="44"/>
      <c r="BE7" s="10" t="s">
        <v>8</v>
      </c>
      <c r="BF7" s="33">
        <v>9945000</v>
      </c>
    </row>
    <row r="8" spans="1:58" x14ac:dyDescent="0.25">
      <c r="A8" s="11">
        <v>5</v>
      </c>
      <c r="B8" s="1" t="s">
        <v>8</v>
      </c>
      <c r="C8" s="12">
        <v>67530169.631500006</v>
      </c>
      <c r="G8" s="11">
        <v>5</v>
      </c>
      <c r="H8" s="60" t="s">
        <v>10</v>
      </c>
      <c r="I8" s="61">
        <v>49134990.200000003</v>
      </c>
      <c r="L8" s="11">
        <v>7</v>
      </c>
      <c r="M8" s="18" t="s">
        <v>104</v>
      </c>
      <c r="N8" s="19">
        <v>55000000</v>
      </c>
      <c r="O8" s="1"/>
      <c r="R8" s="44"/>
      <c r="S8" s="10" t="s">
        <v>17</v>
      </c>
      <c r="T8" s="33">
        <v>5765760</v>
      </c>
      <c r="V8" s="44"/>
      <c r="W8" s="10" t="s">
        <v>48</v>
      </c>
      <c r="X8" s="33">
        <v>2800000</v>
      </c>
      <c r="Z8" s="44"/>
      <c r="AA8" s="10" t="s">
        <v>18</v>
      </c>
      <c r="AB8" s="33">
        <v>7108992</v>
      </c>
      <c r="AD8" s="44"/>
      <c r="AE8" s="10" t="s">
        <v>33</v>
      </c>
      <c r="AF8" s="33">
        <v>2037420</v>
      </c>
      <c r="AH8" s="44"/>
      <c r="AI8" s="10" t="s">
        <v>17</v>
      </c>
      <c r="AJ8" s="33">
        <v>2027025</v>
      </c>
      <c r="AL8" s="44"/>
      <c r="AM8" s="10" t="s">
        <v>78</v>
      </c>
      <c r="AN8" s="33">
        <v>782787.88314606727</v>
      </c>
      <c r="AQ8" s="44"/>
      <c r="AR8" s="10" t="s">
        <v>22</v>
      </c>
      <c r="AS8" s="33">
        <v>8640000</v>
      </c>
      <c r="AU8" s="44"/>
      <c r="AV8" s="10" t="s">
        <v>62</v>
      </c>
      <c r="AW8" s="33">
        <v>2744820</v>
      </c>
      <c r="AZ8" s="44"/>
      <c r="BA8" s="10" t="s">
        <v>16</v>
      </c>
      <c r="BB8" s="33">
        <v>38000000</v>
      </c>
      <c r="BD8" s="44"/>
      <c r="BE8" s="10" t="s">
        <v>20</v>
      </c>
      <c r="BF8" s="33">
        <v>8000000</v>
      </c>
    </row>
    <row r="9" spans="1:58" x14ac:dyDescent="0.25">
      <c r="A9" s="11">
        <v>6</v>
      </c>
      <c r="B9" s="1" t="s">
        <v>18</v>
      </c>
      <c r="C9" s="12">
        <v>64700937.899999999</v>
      </c>
      <c r="G9" s="11">
        <v>6</v>
      </c>
      <c r="H9" s="60" t="s">
        <v>12</v>
      </c>
      <c r="I9" s="61">
        <v>46656849.599999994</v>
      </c>
      <c r="L9" s="11">
        <v>8</v>
      </c>
      <c r="M9" s="18" t="s">
        <v>103</v>
      </c>
      <c r="N9" s="19">
        <v>44340750</v>
      </c>
      <c r="O9" s="1"/>
      <c r="R9" s="44"/>
      <c r="S9" s="10" t="s">
        <v>33</v>
      </c>
      <c r="T9" s="33">
        <v>5034879</v>
      </c>
      <c r="V9" s="44"/>
      <c r="W9" s="10" t="s">
        <v>49</v>
      </c>
      <c r="X9" s="33">
        <v>2800000</v>
      </c>
      <c r="Z9" s="44"/>
      <c r="AA9" s="10" t="s">
        <v>15</v>
      </c>
      <c r="AB9" s="33">
        <v>5490000</v>
      </c>
      <c r="AD9" s="44"/>
      <c r="AE9" s="10" t="s">
        <v>72</v>
      </c>
      <c r="AF9" s="33">
        <v>1720000</v>
      </c>
      <c r="AH9" s="44"/>
      <c r="AI9" s="10" t="s">
        <v>35</v>
      </c>
      <c r="AJ9" s="33">
        <v>1848000.0000000002</v>
      </c>
      <c r="AL9" s="44"/>
      <c r="AM9" s="10" t="s">
        <v>79</v>
      </c>
      <c r="AN9" s="33">
        <v>781200</v>
      </c>
      <c r="AQ9" s="44"/>
      <c r="AR9" s="10" t="s">
        <v>20</v>
      </c>
      <c r="AS9" s="33">
        <v>7200000</v>
      </c>
      <c r="AU9" s="44"/>
      <c r="AV9" s="10" t="s">
        <v>65</v>
      </c>
      <c r="AW9" s="33">
        <v>2516085</v>
      </c>
      <c r="AZ9" s="44"/>
      <c r="BA9" s="10" t="s">
        <v>85</v>
      </c>
      <c r="BB9" s="33">
        <v>600000</v>
      </c>
      <c r="BD9" s="37"/>
      <c r="BE9" s="10" t="s">
        <v>15</v>
      </c>
      <c r="BF9" s="33">
        <v>7335000</v>
      </c>
    </row>
    <row r="10" spans="1:58" ht="26" thickBot="1" x14ac:dyDescent="0.3">
      <c r="A10" s="11">
        <v>7</v>
      </c>
      <c r="B10" s="1" t="s">
        <v>9</v>
      </c>
      <c r="C10" s="12">
        <v>61400000</v>
      </c>
      <c r="D10" s="10"/>
      <c r="G10" s="11">
        <v>7</v>
      </c>
      <c r="H10" s="60" t="s">
        <v>13</v>
      </c>
      <c r="I10" s="61">
        <v>41548783.940000005</v>
      </c>
      <c r="L10" s="11">
        <v>9</v>
      </c>
      <c r="M10" s="18" t="s">
        <v>105</v>
      </c>
      <c r="N10" s="19">
        <v>23518233</v>
      </c>
      <c r="O10" s="1"/>
      <c r="R10" s="44"/>
      <c r="S10" s="10" t="s">
        <v>20</v>
      </c>
      <c r="T10" s="33">
        <v>4620000</v>
      </c>
      <c r="V10" s="45"/>
      <c r="W10" s="46"/>
      <c r="X10" s="35">
        <f>SUM(X2:X9)</f>
        <v>37734698.799999997</v>
      </c>
      <c r="Z10" s="37"/>
      <c r="AA10" s="10" t="s">
        <v>43</v>
      </c>
      <c r="AB10" s="33">
        <v>4546030.5</v>
      </c>
      <c r="AD10" s="44"/>
      <c r="AE10" s="10" t="s">
        <v>75</v>
      </c>
      <c r="AF10" s="33">
        <v>1230769.2</v>
      </c>
      <c r="AH10" s="44"/>
      <c r="AI10" s="10" t="s">
        <v>12</v>
      </c>
      <c r="AJ10" s="33">
        <v>1620000</v>
      </c>
      <c r="AL10" s="37"/>
      <c r="AM10" s="10" t="s">
        <v>92</v>
      </c>
      <c r="AN10" s="33">
        <v>105600</v>
      </c>
      <c r="AQ10" s="44"/>
      <c r="AR10" s="10" t="s">
        <v>18</v>
      </c>
      <c r="AS10" s="33">
        <v>6000000</v>
      </c>
      <c r="AU10" s="44"/>
      <c r="AV10" s="10" t="s">
        <v>66</v>
      </c>
      <c r="AW10" s="33">
        <v>2506140</v>
      </c>
      <c r="AZ10" s="44"/>
      <c r="BB10" s="33"/>
      <c r="BD10" s="44"/>
      <c r="BE10" s="10" t="s">
        <v>40</v>
      </c>
      <c r="BF10" s="33">
        <v>5040000</v>
      </c>
    </row>
    <row r="11" spans="1:58" ht="26" thickBot="1" x14ac:dyDescent="0.3">
      <c r="A11" s="11">
        <v>8</v>
      </c>
      <c r="B11" s="1" t="s">
        <v>10</v>
      </c>
      <c r="C11" s="12">
        <v>54155324.200000003</v>
      </c>
      <c r="G11" s="11">
        <v>8</v>
      </c>
      <c r="H11" s="60" t="s">
        <v>17</v>
      </c>
      <c r="I11" s="61">
        <v>37553881.499999993</v>
      </c>
      <c r="L11" s="11">
        <v>5</v>
      </c>
      <c r="M11" s="18" t="s">
        <v>101</v>
      </c>
      <c r="N11" s="19">
        <v>111955684.5</v>
      </c>
      <c r="O11" s="1"/>
      <c r="R11" s="44"/>
      <c r="S11" s="10" t="s">
        <v>21</v>
      </c>
      <c r="T11" s="33">
        <v>8879473.8000000007</v>
      </c>
      <c r="Z11" s="44"/>
      <c r="AA11" s="10" t="s">
        <v>21</v>
      </c>
      <c r="AB11" s="33">
        <v>8618319</v>
      </c>
      <c r="AD11" s="44"/>
      <c r="AE11" s="10" t="s">
        <v>17</v>
      </c>
      <c r="AF11" s="33">
        <v>4804800</v>
      </c>
      <c r="AH11" s="44"/>
      <c r="AI11" s="10" t="s">
        <v>8</v>
      </c>
      <c r="AJ11" s="33">
        <v>2875000</v>
      </c>
      <c r="AL11" s="44"/>
      <c r="AM11" s="10" t="s">
        <v>37</v>
      </c>
      <c r="AN11" s="33">
        <v>2369943.52</v>
      </c>
      <c r="AQ11" s="44"/>
      <c r="AR11" s="10" t="s">
        <v>27</v>
      </c>
      <c r="AS11" s="33">
        <v>15000000</v>
      </c>
      <c r="AU11" s="44"/>
      <c r="AV11" s="10" t="s">
        <v>13</v>
      </c>
      <c r="AW11" s="33">
        <v>3536000</v>
      </c>
      <c r="AZ11" s="38"/>
      <c r="BA11" s="46" t="s">
        <v>63</v>
      </c>
      <c r="BB11" s="35">
        <v>2700000</v>
      </c>
      <c r="BD11" s="44"/>
      <c r="BE11" s="10" t="s">
        <v>18</v>
      </c>
      <c r="BF11" s="33">
        <v>13847931.9</v>
      </c>
    </row>
    <row r="12" spans="1:58" ht="26" thickBot="1" x14ac:dyDescent="0.3">
      <c r="A12" s="11">
        <v>9</v>
      </c>
      <c r="B12" s="1" t="s">
        <v>12</v>
      </c>
      <c r="C12" s="12">
        <v>46656849.599999994</v>
      </c>
      <c r="G12" s="11">
        <v>9</v>
      </c>
      <c r="H12" s="60" t="s">
        <v>153</v>
      </c>
      <c r="I12" s="61">
        <v>37220720</v>
      </c>
      <c r="L12" s="11">
        <v>10</v>
      </c>
      <c r="M12" s="21" t="s">
        <v>106</v>
      </c>
      <c r="N12" s="22">
        <v>13464108</v>
      </c>
      <c r="O12" s="1"/>
      <c r="R12" s="44"/>
      <c r="S12" s="10" t="s">
        <v>38</v>
      </c>
      <c r="T12" s="33">
        <v>4140000</v>
      </c>
      <c r="Z12" s="44"/>
      <c r="AA12" s="10" t="s">
        <v>50</v>
      </c>
      <c r="AB12" s="33">
        <v>4230000</v>
      </c>
      <c r="AD12" s="45"/>
      <c r="AE12" s="46" t="s">
        <v>76</v>
      </c>
      <c r="AF12" s="35">
        <v>1230769.2</v>
      </c>
      <c r="AH12" s="44"/>
      <c r="AI12" s="10" t="s">
        <v>33</v>
      </c>
      <c r="AJ12" s="33">
        <v>1485000</v>
      </c>
      <c r="AL12" s="45"/>
      <c r="AM12" s="46"/>
      <c r="AN12" s="35"/>
      <c r="AQ12" s="44"/>
      <c r="AR12" s="10" t="s">
        <v>45</v>
      </c>
      <c r="AS12" s="33">
        <v>5346000</v>
      </c>
      <c r="AU12" s="37"/>
      <c r="AV12" s="10" t="s">
        <v>48</v>
      </c>
      <c r="AW12" s="33">
        <v>1790100</v>
      </c>
      <c r="BB12" s="10">
        <f>SUM(BB3:BB11)</f>
        <v>79602000</v>
      </c>
      <c r="BD12" s="45"/>
      <c r="BE12" s="46" t="s">
        <v>56</v>
      </c>
      <c r="BF12" s="35">
        <v>3480220.8</v>
      </c>
    </row>
    <row r="13" spans="1:58" x14ac:dyDescent="0.25">
      <c r="A13" s="11">
        <v>10</v>
      </c>
      <c r="B13" s="1" t="s">
        <v>13</v>
      </c>
      <c r="C13" s="12">
        <v>41548783.940000005</v>
      </c>
      <c r="G13" s="11">
        <v>10</v>
      </c>
      <c r="H13" s="60" t="s">
        <v>8</v>
      </c>
      <c r="I13" s="61">
        <v>36775438</v>
      </c>
      <c r="L13" s="1"/>
      <c r="O13" s="1"/>
      <c r="R13" s="44"/>
      <c r="S13" s="10" t="s">
        <v>58</v>
      </c>
      <c r="T13" s="33">
        <v>2900000</v>
      </c>
      <c r="Z13" s="44"/>
      <c r="AA13" s="10" t="s">
        <v>38</v>
      </c>
      <c r="AB13" s="33">
        <v>4140000</v>
      </c>
      <c r="AF13" s="10">
        <f>SUM(AF3:AF12)</f>
        <v>106292453.13150002</v>
      </c>
      <c r="AH13" s="44"/>
      <c r="AI13" s="10" t="s">
        <v>77</v>
      </c>
      <c r="AJ13" s="33">
        <v>862500</v>
      </c>
      <c r="AN13" s="10">
        <f>SUM(AN3:AN12)</f>
        <v>37011922.153146073</v>
      </c>
      <c r="AQ13" s="44"/>
      <c r="AR13" s="10" t="s">
        <v>51</v>
      </c>
      <c r="AS13" s="33">
        <v>4050000</v>
      </c>
      <c r="AU13" s="44"/>
      <c r="AV13" s="10" t="s">
        <v>49</v>
      </c>
      <c r="AW13" s="33">
        <v>1790100</v>
      </c>
      <c r="BF13" s="10">
        <f>SUM(BF3:BF12)</f>
        <v>137470571.44100001</v>
      </c>
    </row>
    <row r="14" spans="1:58" x14ac:dyDescent="0.25">
      <c r="A14" s="11">
        <v>11</v>
      </c>
      <c r="B14" s="1" t="s">
        <v>15</v>
      </c>
      <c r="C14" s="12">
        <v>35233000</v>
      </c>
      <c r="G14" s="11">
        <v>11</v>
      </c>
      <c r="H14" s="60" t="s">
        <v>19</v>
      </c>
      <c r="I14" s="61">
        <v>29243418.740999997</v>
      </c>
      <c r="O14" s="1"/>
      <c r="R14" s="44"/>
      <c r="S14" s="10" t="s">
        <v>15</v>
      </c>
      <c r="T14" s="33">
        <v>2860000</v>
      </c>
      <c r="Z14" s="44"/>
      <c r="AA14" s="10" t="s">
        <v>44</v>
      </c>
      <c r="AB14" s="33">
        <v>4050000</v>
      </c>
      <c r="AH14" s="44"/>
      <c r="AI14" s="10" t="s">
        <v>5</v>
      </c>
      <c r="AJ14" s="33">
        <v>613156</v>
      </c>
      <c r="AQ14" s="44"/>
      <c r="AR14" s="10" t="s">
        <v>33</v>
      </c>
      <c r="AS14" s="33">
        <v>2410754.4</v>
      </c>
      <c r="AU14" s="44"/>
      <c r="AV14" s="10" t="s">
        <v>81</v>
      </c>
      <c r="AW14" s="33">
        <v>720000</v>
      </c>
    </row>
    <row r="15" spans="1:58" x14ac:dyDescent="0.25">
      <c r="A15" s="11">
        <v>12</v>
      </c>
      <c r="B15" s="1" t="s">
        <v>16</v>
      </c>
      <c r="C15" s="12">
        <v>34520000</v>
      </c>
      <c r="G15" s="11">
        <v>12</v>
      </c>
      <c r="H15" s="60" t="s">
        <v>18</v>
      </c>
      <c r="I15" s="61">
        <v>27800937.899999999</v>
      </c>
      <c r="O15" s="1"/>
      <c r="R15" s="37"/>
      <c r="S15" s="10" t="s">
        <v>43</v>
      </c>
      <c r="T15" s="33">
        <v>2200116.5999999996</v>
      </c>
      <c r="Z15" s="44"/>
      <c r="AA15" s="10" t="s">
        <v>52</v>
      </c>
      <c r="AB15" s="33">
        <v>3960000</v>
      </c>
      <c r="AH15" s="44"/>
      <c r="AI15" s="10" t="s">
        <v>86</v>
      </c>
      <c r="AJ15" s="33">
        <v>569250</v>
      </c>
      <c r="AQ15" s="44"/>
      <c r="AR15" s="10" t="s">
        <v>40</v>
      </c>
      <c r="AS15" s="33">
        <v>2376000</v>
      </c>
      <c r="AU15" s="44"/>
      <c r="AV15" s="10" t="s">
        <v>83</v>
      </c>
      <c r="AW15" s="33">
        <v>630000</v>
      </c>
    </row>
    <row r="16" spans="1:58" ht="26" thickBot="1" x14ac:dyDescent="0.3">
      <c r="A16" s="11">
        <v>13</v>
      </c>
      <c r="B16" s="1" t="s">
        <v>17</v>
      </c>
      <c r="C16" s="12">
        <v>32343676.499999996</v>
      </c>
      <c r="G16" s="11">
        <v>13</v>
      </c>
      <c r="H16" s="60" t="s">
        <v>15</v>
      </c>
      <c r="I16" s="61">
        <v>22273000</v>
      </c>
      <c r="O16" s="1"/>
      <c r="R16" s="44"/>
      <c r="S16" s="10" t="s">
        <v>44</v>
      </c>
      <c r="T16" s="33">
        <v>2160000</v>
      </c>
      <c r="Z16" s="44"/>
      <c r="AA16" s="10" t="s">
        <v>53</v>
      </c>
      <c r="AB16" s="33">
        <v>3643631.0999999996</v>
      </c>
      <c r="AH16" s="44"/>
      <c r="AI16" s="10" t="s">
        <v>87</v>
      </c>
      <c r="AJ16" s="33">
        <v>528000</v>
      </c>
      <c r="AQ16" s="44"/>
      <c r="AR16" s="10" t="s">
        <v>57</v>
      </c>
      <c r="AS16" s="33">
        <v>2000000</v>
      </c>
      <c r="AU16" s="45"/>
      <c r="AV16" s="46" t="s">
        <v>84</v>
      </c>
      <c r="AW16" s="35">
        <v>630000</v>
      </c>
    </row>
    <row r="17" spans="1:49" x14ac:dyDescent="0.25">
      <c r="A17" s="11">
        <v>14</v>
      </c>
      <c r="B17" s="1" t="s">
        <v>19</v>
      </c>
      <c r="C17" s="12">
        <v>29243418.740999997</v>
      </c>
      <c r="G17" s="11">
        <v>14</v>
      </c>
      <c r="H17" s="60" t="s">
        <v>20</v>
      </c>
      <c r="I17" s="61">
        <v>21920000</v>
      </c>
      <c r="O17" s="1"/>
      <c r="R17" s="44"/>
      <c r="S17" s="10" t="s">
        <v>18</v>
      </c>
      <c r="T17" s="33">
        <v>1444014</v>
      </c>
      <c r="Z17" s="44"/>
      <c r="AA17" s="10" t="s">
        <v>55</v>
      </c>
      <c r="AB17" s="33">
        <v>3537000</v>
      </c>
      <c r="AH17" s="44"/>
      <c r="AJ17" s="33"/>
      <c r="AQ17" s="44"/>
      <c r="AR17" s="10" t="s">
        <v>70</v>
      </c>
      <c r="AS17" s="33">
        <v>2000000</v>
      </c>
      <c r="AW17" s="10">
        <f>SUM(AW3:AW16)</f>
        <v>175357265.20999998</v>
      </c>
    </row>
    <row r="18" spans="1:49" ht="26" thickBot="1" x14ac:dyDescent="0.3">
      <c r="A18" s="11">
        <v>15</v>
      </c>
      <c r="B18" s="1" t="s">
        <v>20</v>
      </c>
      <c r="C18" s="12">
        <v>21920000</v>
      </c>
      <c r="G18" s="11">
        <v>15</v>
      </c>
      <c r="H18" s="60" t="s">
        <v>26</v>
      </c>
      <c r="I18" s="61">
        <v>20505200</v>
      </c>
      <c r="O18" s="1"/>
      <c r="R18" s="44"/>
      <c r="S18" s="10" t="s">
        <v>57</v>
      </c>
      <c r="T18" s="33">
        <v>1400000</v>
      </c>
      <c r="Z18" s="44"/>
      <c r="AA18" s="10" t="s">
        <v>60</v>
      </c>
      <c r="AB18" s="33">
        <v>2880000</v>
      </c>
      <c r="AH18" s="45"/>
      <c r="AI18" s="46"/>
      <c r="AJ18" s="35"/>
      <c r="AQ18" s="45"/>
      <c r="AR18" s="46" t="s">
        <v>73</v>
      </c>
      <c r="AS18" s="35">
        <v>1350000</v>
      </c>
    </row>
    <row r="19" spans="1:49" x14ac:dyDescent="0.25">
      <c r="A19" s="11">
        <v>16</v>
      </c>
      <c r="B19" s="1" t="s">
        <v>21</v>
      </c>
      <c r="C19" s="12">
        <v>17497792.800000001</v>
      </c>
      <c r="G19" s="11">
        <v>16</v>
      </c>
      <c r="H19" s="60" t="s">
        <v>21</v>
      </c>
      <c r="I19" s="61">
        <v>17497792.800000001</v>
      </c>
      <c r="R19" s="44"/>
      <c r="S19" s="10" t="s">
        <v>61</v>
      </c>
      <c r="T19" s="33">
        <v>935550</v>
      </c>
      <c r="Z19" s="44"/>
      <c r="AA19" s="10" t="s">
        <v>20</v>
      </c>
      <c r="AB19" s="33">
        <v>2100000</v>
      </c>
      <c r="AJ19" s="10">
        <f>SUM(AJ3:AJ18)</f>
        <v>47225914.939999998</v>
      </c>
      <c r="AS19" s="10">
        <f>SUM(AS3:AS18)</f>
        <v>134952754.32800001</v>
      </c>
    </row>
    <row r="20" spans="1:49" x14ac:dyDescent="0.25">
      <c r="A20" s="11">
        <v>17</v>
      </c>
      <c r="B20" s="1" t="s">
        <v>22</v>
      </c>
      <c r="C20" s="12">
        <v>16890000</v>
      </c>
      <c r="G20" s="11">
        <v>17</v>
      </c>
      <c r="H20" s="60" t="s">
        <v>22</v>
      </c>
      <c r="I20" s="61">
        <v>16890000</v>
      </c>
      <c r="R20" s="44"/>
      <c r="S20" s="10" t="s">
        <v>82</v>
      </c>
      <c r="T20" s="33">
        <v>675000</v>
      </c>
      <c r="Z20" s="44"/>
      <c r="AA20" s="10" t="s">
        <v>61</v>
      </c>
      <c r="AB20" s="33">
        <v>1890000</v>
      </c>
    </row>
    <row r="21" spans="1:49" ht="26" thickBot="1" x14ac:dyDescent="0.3">
      <c r="A21" s="11">
        <v>18</v>
      </c>
      <c r="B21" s="1" t="s">
        <v>23</v>
      </c>
      <c r="C21" s="12">
        <v>16724565.199999999</v>
      </c>
      <c r="G21" s="11">
        <v>18</v>
      </c>
      <c r="H21" s="60" t="s">
        <v>23</v>
      </c>
      <c r="I21" s="61">
        <v>16724565.199999999</v>
      </c>
      <c r="R21" s="45"/>
      <c r="S21" s="46"/>
      <c r="T21" s="35"/>
      <c r="Z21" s="44"/>
      <c r="AA21" s="10" t="s">
        <v>71</v>
      </c>
      <c r="AB21" s="33">
        <v>1890000</v>
      </c>
    </row>
    <row r="22" spans="1:49" ht="26" thickBot="1" x14ac:dyDescent="0.3">
      <c r="A22" s="11">
        <v>19</v>
      </c>
      <c r="B22" s="1" t="s">
        <v>24</v>
      </c>
      <c r="C22" s="12">
        <v>16199999.927999999</v>
      </c>
      <c r="G22" s="11">
        <v>19</v>
      </c>
      <c r="H22" s="60" t="s">
        <v>24</v>
      </c>
      <c r="I22" s="61">
        <v>16199999.927999999</v>
      </c>
      <c r="T22" s="10">
        <f>SUM(T3:T21)</f>
        <v>158215464.30000001</v>
      </c>
      <c r="Z22" s="45"/>
      <c r="AA22" s="34"/>
      <c r="AB22" s="41"/>
    </row>
    <row r="23" spans="1:49" x14ac:dyDescent="0.25">
      <c r="A23" s="11">
        <v>20</v>
      </c>
      <c r="B23" s="1" t="s">
        <v>25</v>
      </c>
      <c r="C23" s="12">
        <v>15912000</v>
      </c>
      <c r="G23" s="11">
        <v>20</v>
      </c>
      <c r="H23" s="60" t="s">
        <v>25</v>
      </c>
      <c r="I23" s="61">
        <v>15912000</v>
      </c>
      <c r="Z23" s="3"/>
      <c r="AB23" s="10">
        <f>SUM(AB3:AB22)</f>
        <v>188118431.90000001</v>
      </c>
    </row>
    <row r="24" spans="1:49" x14ac:dyDescent="0.25">
      <c r="B24" s="1" t="s">
        <v>26</v>
      </c>
      <c r="C24" s="12">
        <v>15850000</v>
      </c>
      <c r="G24" s="1"/>
      <c r="H24" s="60" t="s">
        <v>27</v>
      </c>
      <c r="I24" s="61">
        <v>15000000</v>
      </c>
    </row>
    <row r="25" spans="1:49" x14ac:dyDescent="0.25">
      <c r="A25" s="62"/>
      <c r="B25" s="1" t="s">
        <v>27</v>
      </c>
      <c r="C25" s="12">
        <v>15000000</v>
      </c>
      <c r="G25" s="1"/>
      <c r="H25" s="60" t="s">
        <v>29</v>
      </c>
      <c r="I25" s="61">
        <v>12622012.200000001</v>
      </c>
    </row>
    <row r="26" spans="1:49" x14ac:dyDescent="0.25">
      <c r="A26" s="1"/>
      <c r="B26" s="1" t="s">
        <v>28</v>
      </c>
      <c r="C26" s="12">
        <v>13090908.6</v>
      </c>
      <c r="G26" s="1"/>
      <c r="H26" s="60" t="s">
        <v>35</v>
      </c>
      <c r="I26" s="61">
        <v>10348000</v>
      </c>
    </row>
    <row r="27" spans="1:49" x14ac:dyDescent="0.25">
      <c r="B27" s="1" t="s">
        <v>29</v>
      </c>
      <c r="C27" s="12">
        <v>12622012.200000001</v>
      </c>
      <c r="G27" s="1"/>
      <c r="H27" s="60" t="s">
        <v>36</v>
      </c>
      <c r="I27" s="61">
        <v>10000000</v>
      </c>
    </row>
    <row r="28" spans="1:49" x14ac:dyDescent="0.25">
      <c r="B28" s="1" t="s">
        <v>30</v>
      </c>
      <c r="C28" s="12">
        <v>11700000</v>
      </c>
      <c r="G28" s="1"/>
      <c r="H28" s="60" t="s">
        <v>33</v>
      </c>
      <c r="I28" s="61">
        <v>8930633.4000000004</v>
      </c>
    </row>
    <row r="29" spans="1:49" x14ac:dyDescent="0.25">
      <c r="A29" s="1"/>
      <c r="B29" s="1" t="s">
        <v>31</v>
      </c>
      <c r="C29" s="12">
        <v>11259000</v>
      </c>
      <c r="G29" s="1"/>
      <c r="H29" s="60" t="s">
        <v>38</v>
      </c>
      <c r="I29" s="61">
        <v>8280000</v>
      </c>
    </row>
    <row r="30" spans="1:49" x14ac:dyDescent="0.25">
      <c r="A30" s="1"/>
      <c r="B30" s="1" t="s">
        <v>32</v>
      </c>
      <c r="C30" s="12">
        <v>11017666</v>
      </c>
      <c r="G30" s="1"/>
      <c r="H30" s="60" t="s">
        <v>39</v>
      </c>
      <c r="I30" s="61">
        <v>7560000</v>
      </c>
    </row>
    <row r="31" spans="1:49" x14ac:dyDescent="0.25">
      <c r="A31" s="1"/>
      <c r="B31" s="1" t="s">
        <v>33</v>
      </c>
      <c r="C31" s="12">
        <v>10968053.4</v>
      </c>
      <c r="G31" s="1"/>
      <c r="H31" s="60" t="s">
        <v>40</v>
      </c>
      <c r="I31" s="61">
        <v>7416000</v>
      </c>
    </row>
    <row r="32" spans="1:49" x14ac:dyDescent="0.25">
      <c r="A32" s="1"/>
      <c r="B32" s="1" t="s">
        <v>34</v>
      </c>
      <c r="C32" s="12">
        <v>10935000</v>
      </c>
      <c r="G32" s="1"/>
      <c r="H32" s="60" t="s">
        <v>41</v>
      </c>
      <c r="I32" s="61">
        <v>7290000</v>
      </c>
    </row>
    <row r="33" spans="1:9" x14ac:dyDescent="0.25">
      <c r="B33" s="1" t="s">
        <v>35</v>
      </c>
      <c r="C33" s="12">
        <v>10348000</v>
      </c>
      <c r="G33" s="1"/>
      <c r="H33" s="60" t="s">
        <v>42</v>
      </c>
      <c r="I33" s="61">
        <v>7200000</v>
      </c>
    </row>
    <row r="34" spans="1:9" x14ac:dyDescent="0.25">
      <c r="B34" s="1" t="s">
        <v>36</v>
      </c>
      <c r="C34" s="12">
        <v>10000000</v>
      </c>
      <c r="G34" s="1"/>
      <c r="H34" s="60" t="s">
        <v>43</v>
      </c>
      <c r="I34" s="61">
        <v>6746147.0999999996</v>
      </c>
    </row>
    <row r="35" spans="1:9" x14ac:dyDescent="0.25">
      <c r="B35" s="1" t="s">
        <v>37</v>
      </c>
      <c r="C35" s="12">
        <v>9389943.5199999996</v>
      </c>
      <c r="G35" s="1"/>
      <c r="H35" s="60" t="s">
        <v>44</v>
      </c>
      <c r="I35" s="61">
        <v>6210000</v>
      </c>
    </row>
    <row r="36" spans="1:9" x14ac:dyDescent="0.25">
      <c r="B36" s="1" t="s">
        <v>38</v>
      </c>
      <c r="C36" s="12">
        <v>8280000</v>
      </c>
      <c r="G36" s="1"/>
      <c r="H36" s="60" t="s">
        <v>45</v>
      </c>
      <c r="I36" s="61">
        <v>5346000</v>
      </c>
    </row>
    <row r="37" spans="1:9" x14ac:dyDescent="0.25">
      <c r="A37" s="1"/>
      <c r="B37" s="1" t="s">
        <v>39</v>
      </c>
      <c r="C37" s="12">
        <v>7560000</v>
      </c>
      <c r="G37" s="1"/>
      <c r="H37" s="60" t="s">
        <v>48</v>
      </c>
      <c r="I37" s="61">
        <v>4590100</v>
      </c>
    </row>
    <row r="38" spans="1:9" x14ac:dyDescent="0.25">
      <c r="A38" s="1"/>
      <c r="B38" s="1" t="s">
        <v>40</v>
      </c>
      <c r="C38" s="12">
        <v>7416000</v>
      </c>
      <c r="G38" s="1"/>
      <c r="H38" s="60" t="s">
        <v>49</v>
      </c>
      <c r="I38" s="61">
        <v>4590100</v>
      </c>
    </row>
    <row r="39" spans="1:9" x14ac:dyDescent="0.25">
      <c r="A39" s="1"/>
      <c r="B39" s="1" t="s">
        <v>41</v>
      </c>
      <c r="C39" s="12">
        <v>7290000</v>
      </c>
      <c r="G39" s="1"/>
      <c r="H39" s="60" t="s">
        <v>50</v>
      </c>
      <c r="I39" s="61">
        <v>4230000</v>
      </c>
    </row>
    <row r="40" spans="1:9" x14ac:dyDescent="0.25">
      <c r="B40" s="1" t="s">
        <v>42</v>
      </c>
      <c r="C40" s="12">
        <v>7200000</v>
      </c>
      <c r="G40" s="1"/>
      <c r="H40" s="60" t="s">
        <v>51</v>
      </c>
      <c r="I40" s="61">
        <v>4050000</v>
      </c>
    </row>
    <row r="41" spans="1:9" x14ac:dyDescent="0.25">
      <c r="B41" s="1" t="s">
        <v>43</v>
      </c>
      <c r="C41" s="12">
        <v>6746147.0999999996</v>
      </c>
      <c r="G41" s="1"/>
      <c r="H41" s="60" t="s">
        <v>52</v>
      </c>
      <c r="I41" s="61">
        <v>3960000</v>
      </c>
    </row>
    <row r="42" spans="1:9" x14ac:dyDescent="0.25">
      <c r="A42" s="1"/>
      <c r="B42" s="1" t="s">
        <v>44</v>
      </c>
      <c r="C42" s="12">
        <v>6210000</v>
      </c>
      <c r="G42" s="1"/>
      <c r="H42" s="60" t="s">
        <v>53</v>
      </c>
      <c r="I42" s="61">
        <v>3643631.0999999996</v>
      </c>
    </row>
    <row r="43" spans="1:9" x14ac:dyDescent="0.25">
      <c r="A43" s="62"/>
      <c r="B43" s="1" t="s">
        <v>45</v>
      </c>
      <c r="C43" s="12">
        <v>5346000</v>
      </c>
      <c r="G43" s="1"/>
      <c r="H43" s="60" t="s">
        <v>54</v>
      </c>
      <c r="I43" s="61">
        <v>3600000</v>
      </c>
    </row>
    <row r="44" spans="1:9" x14ac:dyDescent="0.25">
      <c r="A44" s="62"/>
      <c r="B44" s="1" t="s">
        <v>46</v>
      </c>
      <c r="C44" s="12">
        <v>4804800</v>
      </c>
      <c r="G44" s="1"/>
      <c r="H44" s="60" t="s">
        <v>55</v>
      </c>
      <c r="I44" s="61">
        <v>3537000</v>
      </c>
    </row>
    <row r="45" spans="1:9" x14ac:dyDescent="0.25">
      <c r="A45" s="1"/>
      <c r="B45" s="1" t="s">
        <v>47</v>
      </c>
      <c r="C45" s="12">
        <v>4655200</v>
      </c>
      <c r="G45" s="1"/>
      <c r="H45" s="60" t="s">
        <v>56</v>
      </c>
      <c r="I45" s="61">
        <v>3480220.8</v>
      </c>
    </row>
    <row r="46" spans="1:9" x14ac:dyDescent="0.25">
      <c r="B46" s="1" t="s">
        <v>48</v>
      </c>
      <c r="C46" s="12">
        <v>4590100</v>
      </c>
      <c r="G46" s="1"/>
      <c r="H46" s="60" t="s">
        <v>57</v>
      </c>
      <c r="I46" s="61">
        <v>3400000</v>
      </c>
    </row>
    <row r="47" spans="1:9" x14ac:dyDescent="0.25">
      <c r="A47" s="1"/>
      <c r="B47" s="1" t="s">
        <v>49</v>
      </c>
      <c r="C47" s="12">
        <v>4590100</v>
      </c>
      <c r="G47" s="1"/>
      <c r="H47" s="60" t="s">
        <v>58</v>
      </c>
      <c r="I47" s="61">
        <v>2900000</v>
      </c>
    </row>
    <row r="48" spans="1:9" x14ac:dyDescent="0.25">
      <c r="B48" s="1" t="s">
        <v>50</v>
      </c>
      <c r="C48" s="12">
        <v>4230000</v>
      </c>
      <c r="G48" s="1"/>
      <c r="H48" s="60" t="s">
        <v>59</v>
      </c>
      <c r="I48" s="61">
        <v>2880000</v>
      </c>
    </row>
    <row r="49" spans="1:9" x14ac:dyDescent="0.25">
      <c r="A49" s="1"/>
      <c r="B49" s="1" t="s">
        <v>51</v>
      </c>
      <c r="C49" s="12">
        <v>4050000</v>
      </c>
      <c r="G49" s="1"/>
      <c r="H49" s="60" t="s">
        <v>60</v>
      </c>
      <c r="I49" s="61">
        <v>2880000</v>
      </c>
    </row>
    <row r="50" spans="1:9" x14ac:dyDescent="0.25">
      <c r="A50" s="1"/>
      <c r="B50" s="1" t="s">
        <v>52</v>
      </c>
      <c r="C50" s="12">
        <v>3960000</v>
      </c>
      <c r="G50" s="1"/>
      <c r="H50" s="60" t="s">
        <v>61</v>
      </c>
      <c r="I50" s="61">
        <v>2825550</v>
      </c>
    </row>
    <row r="51" spans="1:9" x14ac:dyDescent="0.25">
      <c r="A51" s="62"/>
      <c r="B51" s="1" t="s">
        <v>53</v>
      </c>
      <c r="C51" s="12">
        <v>3643631.0999999996</v>
      </c>
      <c r="G51" s="1"/>
      <c r="H51" s="60" t="s">
        <v>62</v>
      </c>
      <c r="I51" s="61">
        <v>2744820</v>
      </c>
    </row>
    <row r="52" spans="1:9" x14ac:dyDescent="0.25">
      <c r="A52" s="1"/>
      <c r="B52" s="1" t="s">
        <v>54</v>
      </c>
      <c r="C52" s="12">
        <v>3600000</v>
      </c>
      <c r="G52" s="1"/>
      <c r="H52" s="60" t="s">
        <v>63</v>
      </c>
      <c r="I52" s="61">
        <v>2700000</v>
      </c>
    </row>
    <row r="53" spans="1:9" x14ac:dyDescent="0.25">
      <c r="A53" s="1"/>
      <c r="B53" s="1" t="s">
        <v>55</v>
      </c>
      <c r="C53" s="12">
        <v>3537000</v>
      </c>
      <c r="G53" s="1"/>
      <c r="H53" s="60" t="s">
        <v>64</v>
      </c>
      <c r="I53" s="61">
        <v>2640000</v>
      </c>
    </row>
    <row r="54" spans="1:9" x14ac:dyDescent="0.25">
      <c r="B54" s="1" t="s">
        <v>56</v>
      </c>
      <c r="C54" s="12">
        <v>3480220.8</v>
      </c>
      <c r="G54" s="1"/>
      <c r="H54" s="60" t="s">
        <v>65</v>
      </c>
      <c r="I54" s="61">
        <v>2516085</v>
      </c>
    </row>
    <row r="55" spans="1:9" x14ac:dyDescent="0.25">
      <c r="B55" s="1" t="s">
        <v>57</v>
      </c>
      <c r="C55" s="12">
        <v>3400000</v>
      </c>
      <c r="G55" s="1"/>
      <c r="H55" s="60" t="s">
        <v>66</v>
      </c>
      <c r="I55" s="61">
        <v>2506140</v>
      </c>
    </row>
    <row r="56" spans="1:9" x14ac:dyDescent="0.25">
      <c r="B56" s="1" t="s">
        <v>58</v>
      </c>
      <c r="C56" s="12">
        <v>2900000</v>
      </c>
      <c r="G56" s="1"/>
      <c r="H56" s="60" t="s">
        <v>67</v>
      </c>
      <c r="I56" s="61">
        <v>2412000</v>
      </c>
    </row>
    <row r="57" spans="1:9" x14ac:dyDescent="0.25">
      <c r="B57" s="1" t="s">
        <v>59</v>
      </c>
      <c r="C57" s="12">
        <v>2880000</v>
      </c>
      <c r="G57" s="1"/>
      <c r="H57" s="60" t="s">
        <v>68</v>
      </c>
      <c r="I57" s="61">
        <v>2408000</v>
      </c>
    </row>
    <row r="58" spans="1:9" x14ac:dyDescent="0.25">
      <c r="A58" s="1"/>
      <c r="B58" s="1" t="s">
        <v>60</v>
      </c>
      <c r="C58" s="12">
        <v>2880000</v>
      </c>
      <c r="G58" s="1"/>
      <c r="H58" s="60" t="s">
        <v>37</v>
      </c>
      <c r="I58" s="61">
        <v>2369943.52</v>
      </c>
    </row>
    <row r="59" spans="1:9" x14ac:dyDescent="0.25">
      <c r="A59" s="1"/>
      <c r="B59" s="1" t="s">
        <v>61</v>
      </c>
      <c r="C59" s="12">
        <v>2825550</v>
      </c>
      <c r="G59" s="1"/>
      <c r="H59" s="60" t="s">
        <v>70</v>
      </c>
      <c r="I59" s="61">
        <v>2000000</v>
      </c>
    </row>
    <row r="60" spans="1:9" x14ac:dyDescent="0.25">
      <c r="B60" s="1" t="s">
        <v>62</v>
      </c>
      <c r="C60" s="12">
        <v>2744820</v>
      </c>
      <c r="G60" s="1"/>
      <c r="H60" s="60" t="s">
        <v>71</v>
      </c>
      <c r="I60" s="61">
        <v>1890000</v>
      </c>
    </row>
    <row r="61" spans="1:9" x14ac:dyDescent="0.25">
      <c r="B61" s="1" t="s">
        <v>63</v>
      </c>
      <c r="C61" s="12">
        <v>2700000</v>
      </c>
      <c r="G61" s="1"/>
      <c r="H61" s="60" t="s">
        <v>72</v>
      </c>
      <c r="I61" s="61">
        <v>1720000</v>
      </c>
    </row>
    <row r="62" spans="1:9" x14ac:dyDescent="0.25">
      <c r="B62" s="1" t="s">
        <v>64</v>
      </c>
      <c r="C62" s="12">
        <v>2640000</v>
      </c>
      <c r="G62" s="1"/>
      <c r="H62" s="60" t="s">
        <v>73</v>
      </c>
      <c r="I62" s="61">
        <v>1350000</v>
      </c>
    </row>
    <row r="63" spans="1:9" x14ac:dyDescent="0.25">
      <c r="A63" s="1"/>
      <c r="B63" s="1" t="s">
        <v>65</v>
      </c>
      <c r="C63" s="12">
        <v>2516085</v>
      </c>
      <c r="G63" s="1"/>
      <c r="H63" s="60" t="s">
        <v>121</v>
      </c>
      <c r="I63" s="61">
        <v>1299352.5</v>
      </c>
    </row>
    <row r="64" spans="1:9" x14ac:dyDescent="0.25">
      <c r="B64" s="1" t="s">
        <v>66</v>
      </c>
      <c r="C64" s="12">
        <v>2506140</v>
      </c>
      <c r="G64" s="1"/>
      <c r="H64" s="60" t="s">
        <v>75</v>
      </c>
      <c r="I64" s="61">
        <v>1230769.2</v>
      </c>
    </row>
    <row r="65" spans="1:9" x14ac:dyDescent="0.25">
      <c r="B65" s="1" t="s">
        <v>67</v>
      </c>
      <c r="C65" s="12">
        <v>2412000</v>
      </c>
      <c r="G65" s="1"/>
      <c r="H65" s="60" t="s">
        <v>76</v>
      </c>
      <c r="I65" s="61">
        <v>1230769.2</v>
      </c>
    </row>
    <row r="66" spans="1:9" x14ac:dyDescent="0.25">
      <c r="A66" s="1"/>
      <c r="B66" s="1" t="s">
        <v>68</v>
      </c>
      <c r="C66" s="12">
        <v>2408000</v>
      </c>
      <c r="G66" s="1"/>
      <c r="H66" s="60" t="s">
        <v>77</v>
      </c>
      <c r="I66" s="61">
        <v>862500</v>
      </c>
    </row>
    <row r="67" spans="1:9" x14ac:dyDescent="0.25">
      <c r="A67" s="1"/>
      <c r="B67" s="1" t="s">
        <v>69</v>
      </c>
      <c r="C67" s="12">
        <v>2209680</v>
      </c>
      <c r="G67" s="1"/>
      <c r="H67" s="60" t="s">
        <v>78</v>
      </c>
      <c r="I67" s="61">
        <v>782787.88314606727</v>
      </c>
    </row>
    <row r="68" spans="1:9" x14ac:dyDescent="0.25">
      <c r="B68" s="1" t="s">
        <v>70</v>
      </c>
      <c r="C68" s="12">
        <v>2000000</v>
      </c>
      <c r="G68" s="1"/>
      <c r="H68" s="60" t="s">
        <v>79</v>
      </c>
      <c r="I68" s="61">
        <v>781200</v>
      </c>
    </row>
    <row r="69" spans="1:9" x14ac:dyDescent="0.25">
      <c r="B69" s="1" t="s">
        <v>71</v>
      </c>
      <c r="C69" s="12">
        <v>1890000</v>
      </c>
      <c r="G69" s="1"/>
      <c r="H69" s="60" t="s">
        <v>80</v>
      </c>
      <c r="I69" s="61">
        <v>773388</v>
      </c>
    </row>
    <row r="70" spans="1:9" x14ac:dyDescent="0.25">
      <c r="B70" s="1" t="s">
        <v>72</v>
      </c>
      <c r="C70" s="12">
        <v>1720000</v>
      </c>
      <c r="G70" s="1"/>
      <c r="H70" s="60" t="s">
        <v>81</v>
      </c>
      <c r="I70" s="61">
        <v>720000</v>
      </c>
    </row>
    <row r="71" spans="1:9" x14ac:dyDescent="0.25">
      <c r="B71" s="1" t="s">
        <v>73</v>
      </c>
      <c r="C71" s="12">
        <v>1350000</v>
      </c>
      <c r="G71" s="1"/>
      <c r="H71" s="60" t="s">
        <v>82</v>
      </c>
      <c r="I71" s="61">
        <v>675000</v>
      </c>
    </row>
    <row r="72" spans="1:9" x14ac:dyDescent="0.25">
      <c r="B72" s="1" t="s">
        <v>74</v>
      </c>
      <c r="C72" s="12">
        <v>1299352.5</v>
      </c>
      <c r="G72" s="1"/>
      <c r="H72" s="60" t="s">
        <v>83</v>
      </c>
      <c r="I72" s="61">
        <v>630000</v>
      </c>
    </row>
    <row r="73" spans="1:9" x14ac:dyDescent="0.25">
      <c r="A73" s="1"/>
      <c r="B73" s="1" t="s">
        <v>75</v>
      </c>
      <c r="C73" s="12">
        <v>1230769.2</v>
      </c>
      <c r="G73" s="1"/>
      <c r="H73" s="60" t="s">
        <v>84</v>
      </c>
      <c r="I73" s="61">
        <v>630000</v>
      </c>
    </row>
    <row r="74" spans="1:9" x14ac:dyDescent="0.25">
      <c r="A74" s="1"/>
      <c r="B74" s="1" t="s">
        <v>76</v>
      </c>
      <c r="C74" s="12">
        <v>1230769.2</v>
      </c>
      <c r="G74" s="1"/>
      <c r="H74" s="60" t="s">
        <v>85</v>
      </c>
      <c r="I74" s="61">
        <v>600000</v>
      </c>
    </row>
    <row r="75" spans="1:9" x14ac:dyDescent="0.25">
      <c r="A75" s="1"/>
      <c r="B75" s="1" t="s">
        <v>77</v>
      </c>
      <c r="C75" s="12">
        <v>862500</v>
      </c>
      <c r="G75" s="1"/>
      <c r="H75" s="60" t="s">
        <v>86</v>
      </c>
      <c r="I75" s="61">
        <v>569250</v>
      </c>
    </row>
    <row r="76" spans="1:9" x14ac:dyDescent="0.25">
      <c r="A76" s="62"/>
      <c r="B76" s="1" t="s">
        <v>78</v>
      </c>
      <c r="C76" s="12">
        <v>782787.88314606727</v>
      </c>
      <c r="G76" s="1"/>
      <c r="H76" s="60" t="s">
        <v>87</v>
      </c>
      <c r="I76" s="61">
        <v>528000</v>
      </c>
    </row>
    <row r="77" spans="1:9" x14ac:dyDescent="0.25">
      <c r="A77" s="1"/>
      <c r="B77" s="1" t="s">
        <v>79</v>
      </c>
      <c r="C77" s="12">
        <v>781200</v>
      </c>
      <c r="G77" s="1"/>
      <c r="H77" s="60" t="s">
        <v>89</v>
      </c>
      <c r="I77" s="61">
        <v>450000</v>
      </c>
    </row>
    <row r="78" spans="1:9" x14ac:dyDescent="0.25">
      <c r="B78" s="1" t="s">
        <v>80</v>
      </c>
      <c r="C78" s="12">
        <v>773388</v>
      </c>
      <c r="G78" s="1"/>
      <c r="H78" s="60" t="s">
        <v>91</v>
      </c>
      <c r="I78" s="61">
        <v>225292.5</v>
      </c>
    </row>
    <row r="79" spans="1:9" x14ac:dyDescent="0.25">
      <c r="A79" s="1"/>
      <c r="B79" s="1" t="s">
        <v>81</v>
      </c>
      <c r="C79" s="12">
        <v>720000</v>
      </c>
      <c r="G79" s="1"/>
      <c r="H79" s="60" t="s">
        <v>92</v>
      </c>
      <c r="I79" s="61">
        <v>105600</v>
      </c>
    </row>
    <row r="80" spans="1:9" x14ac:dyDescent="0.25">
      <c r="B80" s="1" t="s">
        <v>82</v>
      </c>
      <c r="C80" s="12">
        <v>675000</v>
      </c>
      <c r="G80" s="1"/>
      <c r="H80" s="1" t="s">
        <v>84</v>
      </c>
      <c r="I80" s="12">
        <v>630000</v>
      </c>
    </row>
    <row r="81" spans="1:9" x14ac:dyDescent="0.25">
      <c r="A81" s="1"/>
      <c r="B81" s="1" t="s">
        <v>83</v>
      </c>
      <c r="C81" s="12">
        <v>630000</v>
      </c>
      <c r="G81" s="1"/>
      <c r="H81" s="1" t="s">
        <v>85</v>
      </c>
      <c r="I81" s="12">
        <v>600000</v>
      </c>
    </row>
    <row r="82" spans="1:9" x14ac:dyDescent="0.25">
      <c r="B82" s="1" t="s">
        <v>84</v>
      </c>
      <c r="C82" s="12">
        <v>630000</v>
      </c>
      <c r="G82" s="1"/>
      <c r="H82" s="1" t="s">
        <v>86</v>
      </c>
      <c r="I82" s="12">
        <v>569250</v>
      </c>
    </row>
    <row r="83" spans="1:9" x14ac:dyDescent="0.25">
      <c r="B83" s="1" t="s">
        <v>85</v>
      </c>
      <c r="C83" s="12">
        <v>600000</v>
      </c>
      <c r="G83" s="1"/>
      <c r="H83" s="1" t="s">
        <v>87</v>
      </c>
      <c r="I83" s="12">
        <v>528000</v>
      </c>
    </row>
    <row r="84" spans="1:9" x14ac:dyDescent="0.25">
      <c r="A84" s="1"/>
      <c r="B84" s="1" t="s">
        <v>86</v>
      </c>
      <c r="C84" s="12">
        <v>569250</v>
      </c>
      <c r="G84" s="1"/>
      <c r="H84" s="1" t="s">
        <v>88</v>
      </c>
      <c r="I84" s="12">
        <v>491040</v>
      </c>
    </row>
    <row r="85" spans="1:9" x14ac:dyDescent="0.25">
      <c r="B85" s="1" t="s">
        <v>87</v>
      </c>
      <c r="C85" s="12">
        <v>528000</v>
      </c>
      <c r="G85" s="1"/>
      <c r="H85" s="1" t="s">
        <v>89</v>
      </c>
      <c r="I85" s="12">
        <v>450000</v>
      </c>
    </row>
    <row r="86" spans="1:9" x14ac:dyDescent="0.25">
      <c r="B86" s="1" t="s">
        <v>88</v>
      </c>
      <c r="C86" s="12">
        <v>491040</v>
      </c>
      <c r="G86" s="1"/>
      <c r="H86" s="1" t="s">
        <v>90</v>
      </c>
      <c r="I86" s="12">
        <v>405405</v>
      </c>
    </row>
    <row r="87" spans="1:9" x14ac:dyDescent="0.25">
      <c r="B87" s="1" t="s">
        <v>89</v>
      </c>
      <c r="C87" s="12">
        <v>450000</v>
      </c>
      <c r="G87" s="1"/>
      <c r="H87" s="1" t="s">
        <v>91</v>
      </c>
      <c r="I87" s="12">
        <v>225292.5</v>
      </c>
    </row>
    <row r="88" spans="1:9" x14ac:dyDescent="0.25">
      <c r="B88" s="1" t="s">
        <v>90</v>
      </c>
      <c r="C88" s="12">
        <v>405405</v>
      </c>
      <c r="G88" s="1"/>
      <c r="H88" s="1" t="s">
        <v>92</v>
      </c>
      <c r="I88" s="12">
        <v>105600</v>
      </c>
    </row>
    <row r="89" spans="1:9" x14ac:dyDescent="0.25">
      <c r="A89" s="1"/>
      <c r="B89" s="1" t="s">
        <v>91</v>
      </c>
      <c r="C89" s="12">
        <v>225292.5</v>
      </c>
      <c r="G89" s="1"/>
      <c r="H89" s="1" t="s">
        <v>92</v>
      </c>
      <c r="I89" s="12">
        <v>105600</v>
      </c>
    </row>
    <row r="90" spans="1:9" x14ac:dyDescent="0.25">
      <c r="B90" s="1" t="s">
        <v>92</v>
      </c>
      <c r="C90" s="12">
        <v>105600</v>
      </c>
      <c r="G90" s="1"/>
    </row>
    <row r="91" spans="1:9" x14ac:dyDescent="0.25">
      <c r="G91" s="1"/>
    </row>
    <row r="92" spans="1:9" x14ac:dyDescent="0.25">
      <c r="A92" s="1"/>
      <c r="G92" s="1"/>
    </row>
    <row r="93" spans="1:9" x14ac:dyDescent="0.25">
      <c r="A93" s="62"/>
      <c r="G93" s="1"/>
    </row>
    <row r="94" spans="1:9" x14ac:dyDescent="0.25">
      <c r="A94" s="1"/>
      <c r="G94" s="1"/>
    </row>
    <row r="98" spans="1:1" x14ac:dyDescent="0.25">
      <c r="A98" s="62"/>
    </row>
    <row r="100" spans="1:1" x14ac:dyDescent="0.25">
      <c r="A100" s="62"/>
    </row>
    <row r="101" spans="1:1" x14ac:dyDescent="0.25">
      <c r="A101" s="62"/>
    </row>
    <row r="102" spans="1:1" x14ac:dyDescent="0.25">
      <c r="A102" s="62"/>
    </row>
    <row r="103" spans="1:1" x14ac:dyDescent="0.25">
      <c r="A103" s="62"/>
    </row>
    <row r="104" spans="1:1" x14ac:dyDescent="0.25">
      <c r="A104" s="62"/>
    </row>
    <row r="105" spans="1:1" x14ac:dyDescent="0.25">
      <c r="A105" s="62"/>
    </row>
    <row r="106" spans="1:1" x14ac:dyDescent="0.25">
      <c r="A106" s="62"/>
    </row>
    <row r="107" spans="1:1" x14ac:dyDescent="0.25">
      <c r="A107" s="62"/>
    </row>
    <row r="108" spans="1:1" x14ac:dyDescent="0.25">
      <c r="A108" s="62"/>
    </row>
    <row r="109" spans="1:1" x14ac:dyDescent="0.25">
      <c r="A109" s="62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62" spans="1:1" x14ac:dyDescent="0.25">
      <c r="A162" s="1"/>
    </row>
    <row r="163" spans="1:1" x14ac:dyDescent="0.25">
      <c r="A163" s="62"/>
    </row>
    <row r="164" spans="1:1" x14ac:dyDescent="0.25">
      <c r="A164" s="62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</sheetData>
  <autoFilter ref="I1:I170" xr:uid="{71C3F0AB-F145-5546-9F4D-1840A4DB1FD7}">
    <sortState xmlns:xlrd2="http://schemas.microsoft.com/office/spreadsheetml/2017/richdata2" ref="G2:I170">
      <sortCondition descending="1" ref="I1:I170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5D111-E626-E146-BA43-3A9F4949F544}">
  <dimension ref="A1:AN111"/>
  <sheetViews>
    <sheetView zoomScale="39" workbookViewId="0">
      <selection sqref="A1:XFD1048576"/>
    </sheetView>
  </sheetViews>
  <sheetFormatPr baseColWidth="10" defaultRowHeight="28" x14ac:dyDescent="0.3"/>
  <cols>
    <col min="1" max="1" width="7" style="63" bestFit="1" customWidth="1"/>
    <col min="2" max="2" width="81" style="63" bestFit="1" customWidth="1"/>
    <col min="3" max="3" width="47.1640625" style="69" bestFit="1" customWidth="1"/>
    <col min="4" max="4" width="35" style="69" customWidth="1"/>
    <col min="5" max="5" width="7" style="63" bestFit="1" customWidth="1"/>
    <col min="6" max="6" width="79.1640625" style="63" bestFit="1" customWidth="1"/>
    <col min="7" max="7" width="47.1640625" style="63" bestFit="1" customWidth="1"/>
    <col min="8" max="8" width="34.6640625" style="63" customWidth="1"/>
    <col min="9" max="9" width="18.5" style="63" bestFit="1" customWidth="1"/>
    <col min="10" max="10" width="64.6640625" style="63" bestFit="1" customWidth="1"/>
    <col min="11" max="11" width="47.1640625" style="69" bestFit="1" customWidth="1"/>
    <col min="12" max="12" width="18.83203125" style="63" bestFit="1" customWidth="1"/>
    <col min="13" max="13" width="39.83203125" style="63" bestFit="1" customWidth="1"/>
    <col min="14" max="14" width="37.33203125" style="69" bestFit="1" customWidth="1"/>
    <col min="15" max="15" width="10.83203125" style="63"/>
    <col min="16" max="16" width="48.83203125" style="63" bestFit="1" customWidth="1"/>
    <col min="17" max="17" width="34.83203125" style="63" bestFit="1" customWidth="1"/>
    <col min="18" max="18" width="10.83203125" style="63"/>
    <col min="19" max="19" width="59.1640625" style="63" bestFit="1" customWidth="1"/>
    <col min="20" max="20" width="40.83203125" style="63" bestFit="1" customWidth="1"/>
    <col min="21" max="21" width="10.83203125" style="63"/>
    <col min="22" max="22" width="65.1640625" style="63" bestFit="1" customWidth="1"/>
    <col min="23" max="23" width="34.83203125" style="63" bestFit="1" customWidth="1"/>
    <col min="24" max="24" width="10.83203125" style="63"/>
    <col min="25" max="25" width="57.83203125" style="63" bestFit="1" customWidth="1"/>
    <col min="26" max="26" width="37.33203125" style="63" bestFit="1" customWidth="1"/>
    <col min="27" max="29" width="10.83203125" style="63"/>
    <col min="30" max="30" width="52.33203125" style="63" bestFit="1" customWidth="1"/>
    <col min="31" max="31" width="37.33203125" style="63" bestFit="1" customWidth="1"/>
    <col min="32" max="32" width="10.83203125" style="63"/>
    <col min="33" max="33" width="55.33203125" style="63" bestFit="1" customWidth="1"/>
    <col min="34" max="34" width="37.33203125" style="63" bestFit="1" customWidth="1"/>
    <col min="35" max="35" width="10.83203125" style="63"/>
    <col min="36" max="36" width="54.5" style="63" bestFit="1" customWidth="1"/>
    <col min="37" max="37" width="34.83203125" style="63" bestFit="1" customWidth="1"/>
    <col min="38" max="38" width="10.83203125" style="63"/>
    <col min="39" max="39" width="47.6640625" style="63" bestFit="1" customWidth="1"/>
    <col min="40" max="40" width="34.83203125" style="63" bestFit="1" customWidth="1"/>
    <col min="41" max="16384" width="10.83203125" style="63"/>
  </cols>
  <sheetData>
    <row r="1" spans="1:40" ht="29" thickBot="1" x14ac:dyDescent="0.35">
      <c r="B1" s="64" t="s">
        <v>227</v>
      </c>
      <c r="C1" s="87"/>
      <c r="D1" s="87"/>
      <c r="F1" s="64" t="s">
        <v>228</v>
      </c>
      <c r="J1" s="64" t="s">
        <v>229</v>
      </c>
      <c r="K1" s="66"/>
    </row>
    <row r="2" spans="1:40" ht="29" thickBot="1" x14ac:dyDescent="0.35">
      <c r="B2" s="88" t="s">
        <v>1</v>
      </c>
      <c r="C2" s="89" t="s">
        <v>2</v>
      </c>
      <c r="D2" s="90"/>
      <c r="F2" s="88" t="s">
        <v>1</v>
      </c>
      <c r="G2" s="89" t="s">
        <v>2</v>
      </c>
      <c r="H2" s="90"/>
      <c r="I2" s="91" t="s">
        <v>3</v>
      </c>
      <c r="J2" s="92" t="s">
        <v>96</v>
      </c>
      <c r="K2" s="93" t="s">
        <v>2</v>
      </c>
    </row>
    <row r="3" spans="1:40" x14ac:dyDescent="0.3">
      <c r="A3" s="91" t="s">
        <v>3</v>
      </c>
      <c r="B3" s="94" t="s">
        <v>4</v>
      </c>
      <c r="C3" s="95">
        <v>3065771624.9289942</v>
      </c>
      <c r="D3" s="81"/>
      <c r="E3" s="91" t="s">
        <v>3</v>
      </c>
      <c r="F3" s="94" t="s">
        <v>4</v>
      </c>
      <c r="G3" s="95">
        <v>1854132051.8289945</v>
      </c>
      <c r="H3" s="81"/>
      <c r="I3" s="91">
        <v>1</v>
      </c>
      <c r="J3" s="96" t="s">
        <v>100</v>
      </c>
      <c r="K3" s="68">
        <v>992104554.80000007</v>
      </c>
      <c r="M3" s="97" t="s">
        <v>131</v>
      </c>
      <c r="N3" s="98">
        <v>270546888.89999998</v>
      </c>
      <c r="P3" s="97" t="s">
        <v>132</v>
      </c>
      <c r="Q3" s="98">
        <v>65227212.920000002</v>
      </c>
      <c r="S3" s="97" t="s">
        <v>151</v>
      </c>
      <c r="T3" s="98">
        <v>1211639573.0999999</v>
      </c>
      <c r="V3" s="97" t="s">
        <v>212</v>
      </c>
      <c r="W3" s="98">
        <v>46081227.27449438</v>
      </c>
      <c r="Y3" s="97" t="s">
        <v>172</v>
      </c>
      <c r="Z3" s="98">
        <v>431595290.80000001</v>
      </c>
      <c r="AD3" s="97" t="s">
        <v>137</v>
      </c>
      <c r="AE3" s="98">
        <v>184772442.928</v>
      </c>
      <c r="AG3" s="97" t="s">
        <v>143</v>
      </c>
      <c r="AH3" s="98">
        <v>276335241.96000004</v>
      </c>
      <c r="AJ3" s="97" t="s">
        <v>139</v>
      </c>
      <c r="AK3" s="98">
        <v>36472000</v>
      </c>
      <c r="AM3" s="97" t="s">
        <v>206</v>
      </c>
      <c r="AN3" s="98">
        <v>16899808.5</v>
      </c>
    </row>
    <row r="4" spans="1:40" x14ac:dyDescent="0.3">
      <c r="A4" s="79">
        <v>1</v>
      </c>
      <c r="B4" s="78" t="s">
        <v>18</v>
      </c>
      <c r="C4" s="77">
        <v>354119404</v>
      </c>
      <c r="E4" s="79">
        <v>1</v>
      </c>
      <c r="F4" s="78" t="s">
        <v>164</v>
      </c>
      <c r="G4" s="77">
        <v>241018187.40000001</v>
      </c>
      <c r="H4" s="69"/>
      <c r="I4" s="79">
        <v>2</v>
      </c>
      <c r="J4" s="99" t="s">
        <v>97</v>
      </c>
      <c r="K4" s="77">
        <v>495919048.44099438</v>
      </c>
      <c r="M4" s="100" t="s">
        <v>164</v>
      </c>
      <c r="N4" s="77">
        <v>72337822.199999988</v>
      </c>
      <c r="P4" s="100" t="s">
        <v>19</v>
      </c>
      <c r="Q4" s="77">
        <v>16466058</v>
      </c>
      <c r="S4" s="100" t="s">
        <v>18</v>
      </c>
      <c r="T4" s="77">
        <v>273442651</v>
      </c>
      <c r="V4" s="100" t="s">
        <v>213</v>
      </c>
      <c r="W4" s="77">
        <v>29537920</v>
      </c>
      <c r="Y4" s="100" t="s">
        <v>18</v>
      </c>
      <c r="Z4" s="77">
        <v>38308593.5</v>
      </c>
      <c r="AD4" s="100" t="s">
        <v>6</v>
      </c>
      <c r="AE4" s="77">
        <v>21780000</v>
      </c>
      <c r="AG4" s="100" t="s">
        <v>7</v>
      </c>
      <c r="AH4" s="77">
        <v>64170000</v>
      </c>
      <c r="AJ4" s="100" t="s">
        <v>17</v>
      </c>
      <c r="AK4" s="77">
        <v>13860000</v>
      </c>
      <c r="AM4" s="100" t="s">
        <v>115</v>
      </c>
      <c r="AN4" s="77">
        <v>3052000</v>
      </c>
    </row>
    <row r="5" spans="1:40" x14ac:dyDescent="0.3">
      <c r="A5" s="79">
        <v>2</v>
      </c>
      <c r="B5" s="78" t="s">
        <v>164</v>
      </c>
      <c r="C5" s="77">
        <v>241018187.40000001</v>
      </c>
      <c r="E5" s="79">
        <v>2</v>
      </c>
      <c r="F5" s="78" t="s">
        <v>6</v>
      </c>
      <c r="G5" s="77">
        <v>78840000</v>
      </c>
      <c r="H5" s="69"/>
      <c r="I5" s="79">
        <v>3</v>
      </c>
      <c r="J5" s="99" t="s">
        <v>99</v>
      </c>
      <c r="K5" s="77">
        <v>358051217.32800007</v>
      </c>
      <c r="M5" s="100" t="s">
        <v>6</v>
      </c>
      <c r="N5" s="77">
        <v>35190000</v>
      </c>
      <c r="P5" s="100" t="s">
        <v>164</v>
      </c>
      <c r="Q5" s="77">
        <v>8817292.8000000026</v>
      </c>
      <c r="S5" s="100" t="s">
        <v>8</v>
      </c>
      <c r="T5" s="77">
        <v>163800000</v>
      </c>
      <c r="V5" s="100" t="s">
        <v>17</v>
      </c>
      <c r="W5" s="77">
        <v>6716705.5500000007</v>
      </c>
      <c r="Y5" s="100" t="s">
        <v>175</v>
      </c>
      <c r="Z5" s="77">
        <v>37400000</v>
      </c>
      <c r="AD5" s="100" t="s">
        <v>18</v>
      </c>
      <c r="AE5" s="77">
        <v>16263000</v>
      </c>
      <c r="AG5" s="100" t="s">
        <v>14</v>
      </c>
      <c r="AH5" s="77">
        <v>55491536.959999993</v>
      </c>
      <c r="AJ5" s="100" t="s">
        <v>14</v>
      </c>
      <c r="AK5" s="77">
        <v>8800000</v>
      </c>
      <c r="AM5" s="100" t="s">
        <v>175</v>
      </c>
      <c r="AN5" s="77">
        <v>2500000</v>
      </c>
    </row>
    <row r="6" spans="1:40" x14ac:dyDescent="0.3">
      <c r="A6" s="79">
        <v>3</v>
      </c>
      <c r="B6" s="78" t="s">
        <v>8</v>
      </c>
      <c r="C6" s="77">
        <v>208402502.74650002</v>
      </c>
      <c r="E6" s="79">
        <v>3</v>
      </c>
      <c r="F6" s="78" t="s">
        <v>19</v>
      </c>
      <c r="G6" s="77">
        <v>71690505.299999997</v>
      </c>
      <c r="H6" s="69"/>
      <c r="I6" s="79">
        <v>4</v>
      </c>
      <c r="J6" s="99" t="s">
        <v>98</v>
      </c>
      <c r="K6" s="77">
        <v>281540728.5</v>
      </c>
      <c r="M6" s="100" t="s">
        <v>12</v>
      </c>
      <c r="N6" s="77">
        <v>31678327.800000004</v>
      </c>
      <c r="P6" s="100" t="s">
        <v>17</v>
      </c>
      <c r="Q6" s="77">
        <v>6214435.9199999999</v>
      </c>
      <c r="S6" s="100" t="s">
        <v>28</v>
      </c>
      <c r="T6" s="77">
        <v>123272723.09999999</v>
      </c>
      <c r="V6" s="100" t="s">
        <v>37</v>
      </c>
      <c r="W6" s="77">
        <v>3605553.5999999996</v>
      </c>
      <c r="Y6" s="100" t="s">
        <v>186</v>
      </c>
      <c r="Z6" s="77">
        <v>29520000</v>
      </c>
      <c r="AD6" s="100" t="s">
        <v>24</v>
      </c>
      <c r="AE6" s="77">
        <v>16199999.927999999</v>
      </c>
      <c r="AG6" s="100" t="s">
        <v>221</v>
      </c>
      <c r="AH6" s="77">
        <v>22407000</v>
      </c>
      <c r="AJ6" s="100" t="s">
        <v>42</v>
      </c>
      <c r="AK6" s="77">
        <v>7800000</v>
      </c>
      <c r="AM6" s="100" t="s">
        <v>53</v>
      </c>
      <c r="AN6" s="77">
        <v>2000000</v>
      </c>
    </row>
    <row r="7" spans="1:40" x14ac:dyDescent="0.3">
      <c r="A7" s="79">
        <v>4</v>
      </c>
      <c r="B7" s="78" t="s">
        <v>14</v>
      </c>
      <c r="C7" s="77">
        <v>154291536.95999998</v>
      </c>
      <c r="E7" s="79">
        <v>4</v>
      </c>
      <c r="F7" s="78" t="s">
        <v>22</v>
      </c>
      <c r="G7" s="77">
        <v>67973430</v>
      </c>
      <c r="H7" s="69"/>
      <c r="I7" s="79">
        <v>6</v>
      </c>
      <c r="J7" s="99" t="s">
        <v>102</v>
      </c>
      <c r="K7" s="77">
        <v>200207536.95999998</v>
      </c>
      <c r="M7" s="100" t="s">
        <v>178</v>
      </c>
      <c r="N7" s="77">
        <v>13254360</v>
      </c>
      <c r="P7" s="100" t="s">
        <v>48</v>
      </c>
      <c r="Q7" s="77">
        <v>6160000</v>
      </c>
      <c r="S7" s="100" t="s">
        <v>178</v>
      </c>
      <c r="T7" s="77">
        <v>97977600</v>
      </c>
      <c r="V7" s="100" t="s">
        <v>214</v>
      </c>
      <c r="W7" s="77">
        <v>1695684.44</v>
      </c>
      <c r="Y7" s="100" t="s">
        <v>173</v>
      </c>
      <c r="Z7" s="77">
        <v>29030400</v>
      </c>
      <c r="AD7" s="100" t="s">
        <v>27</v>
      </c>
      <c r="AE7" s="77">
        <v>15000000</v>
      </c>
      <c r="AG7" s="100" t="s">
        <v>226</v>
      </c>
      <c r="AH7" s="77">
        <v>16100000</v>
      </c>
      <c r="AJ7" s="100" t="s">
        <v>67</v>
      </c>
      <c r="AK7" s="77">
        <v>2412000</v>
      </c>
      <c r="AM7" s="100" t="s">
        <v>111</v>
      </c>
      <c r="AN7" s="77">
        <v>1745700</v>
      </c>
    </row>
    <row r="8" spans="1:40" x14ac:dyDescent="0.3">
      <c r="A8" s="79">
        <v>5</v>
      </c>
      <c r="B8" s="78" t="s">
        <v>178</v>
      </c>
      <c r="C8" s="77">
        <v>128808960</v>
      </c>
      <c r="E8" s="79">
        <v>5</v>
      </c>
      <c r="F8" s="78" t="s">
        <v>14</v>
      </c>
      <c r="G8" s="77">
        <v>64291536.959999993</v>
      </c>
      <c r="H8" s="69"/>
      <c r="I8" s="79">
        <v>7</v>
      </c>
      <c r="J8" s="99" t="s">
        <v>105</v>
      </c>
      <c r="K8" s="77">
        <v>151574719.5</v>
      </c>
      <c r="M8" s="100" t="s">
        <v>190</v>
      </c>
      <c r="N8" s="77">
        <v>13185000</v>
      </c>
      <c r="P8" s="100" t="s">
        <v>16</v>
      </c>
      <c r="Q8" s="77">
        <v>6118000</v>
      </c>
      <c r="S8" s="100" t="s">
        <v>14</v>
      </c>
      <c r="T8" s="77">
        <v>90000000</v>
      </c>
      <c r="V8" s="100" t="s">
        <v>215</v>
      </c>
      <c r="W8" s="77">
        <v>1600000</v>
      </c>
      <c r="Y8" s="100" t="s">
        <v>8</v>
      </c>
      <c r="Z8" s="77">
        <v>26775000</v>
      </c>
      <c r="AD8" s="100" t="s">
        <v>111</v>
      </c>
      <c r="AE8" s="77">
        <v>14500000</v>
      </c>
      <c r="AG8" s="100" t="s">
        <v>22</v>
      </c>
      <c r="AH8" s="77">
        <v>14115000</v>
      </c>
      <c r="AJ8" s="100" t="s">
        <v>85</v>
      </c>
      <c r="AK8" s="77">
        <v>1800000</v>
      </c>
      <c r="AM8" s="100" t="s">
        <v>158</v>
      </c>
      <c r="AN8" s="77">
        <v>1500000</v>
      </c>
    </row>
    <row r="9" spans="1:40" x14ac:dyDescent="0.3">
      <c r="A9" s="79">
        <v>6</v>
      </c>
      <c r="B9" s="78" t="s">
        <v>28</v>
      </c>
      <c r="C9" s="77">
        <v>111272723.09999999</v>
      </c>
      <c r="E9" s="79">
        <v>6</v>
      </c>
      <c r="F9" s="78" t="s">
        <v>7</v>
      </c>
      <c r="G9" s="77">
        <v>64170000</v>
      </c>
      <c r="H9" s="69"/>
      <c r="I9" s="79">
        <v>8</v>
      </c>
      <c r="J9" s="99" t="s">
        <v>101</v>
      </c>
      <c r="K9" s="77">
        <v>151307566.19999999</v>
      </c>
      <c r="M9" s="100" t="s">
        <v>38</v>
      </c>
      <c r="N9" s="77">
        <v>12420000</v>
      </c>
      <c r="P9" s="100" t="s">
        <v>37</v>
      </c>
      <c r="Q9" s="77">
        <v>4721352</v>
      </c>
      <c r="S9" s="100" t="s">
        <v>196</v>
      </c>
      <c r="T9" s="77">
        <v>65610000</v>
      </c>
      <c r="V9" s="100" t="s">
        <v>22</v>
      </c>
      <c r="W9" s="77">
        <v>1343430</v>
      </c>
      <c r="Y9" s="100" t="s">
        <v>22</v>
      </c>
      <c r="Z9" s="77">
        <v>26640000</v>
      </c>
      <c r="AD9" s="100" t="s">
        <v>13</v>
      </c>
      <c r="AE9" s="77">
        <v>14400000</v>
      </c>
      <c r="AG9" s="100" t="s">
        <v>177</v>
      </c>
      <c r="AH9" s="77">
        <v>11200000</v>
      </c>
      <c r="AJ9" s="100" t="s">
        <v>210</v>
      </c>
      <c r="AK9" s="77">
        <v>1200000</v>
      </c>
      <c r="AM9" s="100" t="s">
        <v>13</v>
      </c>
      <c r="AN9" s="77">
        <v>1497992</v>
      </c>
    </row>
    <row r="10" spans="1:40" ht="29" thickBot="1" x14ac:dyDescent="0.35">
      <c r="A10" s="79">
        <v>7</v>
      </c>
      <c r="B10" s="78" t="s">
        <v>10</v>
      </c>
      <c r="C10" s="77">
        <v>90742452.599999994</v>
      </c>
      <c r="E10" s="79">
        <v>7</v>
      </c>
      <c r="F10" s="78" t="s">
        <v>18</v>
      </c>
      <c r="G10" s="77">
        <v>61955896.5</v>
      </c>
      <c r="H10" s="69"/>
      <c r="I10" s="79">
        <v>9</v>
      </c>
      <c r="J10" s="99" t="s">
        <v>103</v>
      </c>
      <c r="K10" s="77">
        <v>79811700</v>
      </c>
      <c r="M10" s="100" t="s">
        <v>189</v>
      </c>
      <c r="N10" s="77">
        <v>10800000</v>
      </c>
      <c r="P10" s="100" t="s">
        <v>8</v>
      </c>
      <c r="Q10" s="77">
        <v>4025000</v>
      </c>
      <c r="S10" s="100" t="s">
        <v>10</v>
      </c>
      <c r="T10" s="77">
        <v>61722000</v>
      </c>
      <c r="V10" s="100" t="s">
        <v>79</v>
      </c>
      <c r="W10" s="77">
        <v>781200</v>
      </c>
      <c r="Y10" s="100" t="s">
        <v>177</v>
      </c>
      <c r="Z10" s="77">
        <v>24000000</v>
      </c>
      <c r="AD10" s="100" t="s">
        <v>22</v>
      </c>
      <c r="AE10" s="77">
        <v>11700000</v>
      </c>
      <c r="AG10" s="100" t="s">
        <v>220</v>
      </c>
      <c r="AH10" s="77">
        <v>10000000</v>
      </c>
      <c r="AJ10" s="101" t="s">
        <v>211</v>
      </c>
      <c r="AK10" s="80">
        <v>600000</v>
      </c>
      <c r="AM10" s="100" t="s">
        <v>207</v>
      </c>
      <c r="AN10" s="77">
        <v>1350000</v>
      </c>
    </row>
    <row r="11" spans="1:40" x14ac:dyDescent="0.3">
      <c r="A11" s="79">
        <v>8</v>
      </c>
      <c r="B11" s="78" t="s">
        <v>6</v>
      </c>
      <c r="C11" s="77">
        <v>78840000</v>
      </c>
      <c r="E11" s="79">
        <v>8</v>
      </c>
      <c r="F11" s="78" t="s">
        <v>21</v>
      </c>
      <c r="G11" s="77">
        <v>57569054.400000006</v>
      </c>
      <c r="H11" s="69"/>
      <c r="I11" s="79">
        <v>5</v>
      </c>
      <c r="J11" s="99" t="s">
        <v>174</v>
      </c>
      <c r="K11" s="77">
        <v>56000000</v>
      </c>
      <c r="M11" s="100" t="s">
        <v>66</v>
      </c>
      <c r="N11" s="77">
        <v>9600000</v>
      </c>
      <c r="P11" s="100" t="s">
        <v>21</v>
      </c>
      <c r="Q11" s="77">
        <v>3287599.2</v>
      </c>
      <c r="S11" s="100" t="s">
        <v>37</v>
      </c>
      <c r="T11" s="77">
        <v>49140000</v>
      </c>
      <c r="V11" s="100" t="s">
        <v>78</v>
      </c>
      <c r="W11" s="77">
        <v>764733.68449438189</v>
      </c>
      <c r="Y11" s="100" t="s">
        <v>13</v>
      </c>
      <c r="Z11" s="77">
        <v>21840000</v>
      </c>
      <c r="AD11" s="100" t="s">
        <v>8</v>
      </c>
      <c r="AE11" s="77">
        <v>9450000</v>
      </c>
      <c r="AG11" s="100" t="s">
        <v>17</v>
      </c>
      <c r="AH11" s="77">
        <v>8136993.4800000004</v>
      </c>
      <c r="AM11" s="100" t="s">
        <v>191</v>
      </c>
      <c r="AN11" s="77">
        <v>1333334</v>
      </c>
    </row>
    <row r="12" spans="1:40" ht="29" thickBot="1" x14ac:dyDescent="0.35">
      <c r="A12" s="79">
        <v>9</v>
      </c>
      <c r="B12" s="78" t="s">
        <v>37</v>
      </c>
      <c r="C12" s="77">
        <v>74346576.599999994</v>
      </c>
      <c r="E12" s="79">
        <v>9</v>
      </c>
      <c r="F12" s="78" t="s">
        <v>175</v>
      </c>
      <c r="G12" s="77">
        <v>56000000</v>
      </c>
      <c r="H12" s="69"/>
      <c r="I12" s="79">
        <v>10</v>
      </c>
      <c r="J12" s="99" t="s">
        <v>104</v>
      </c>
      <c r="K12" s="77">
        <v>39540000</v>
      </c>
      <c r="M12" s="100" t="s">
        <v>10</v>
      </c>
      <c r="N12" s="77">
        <v>8888172</v>
      </c>
      <c r="P12" s="100" t="s">
        <v>163</v>
      </c>
      <c r="Q12" s="77">
        <v>3254415</v>
      </c>
      <c r="S12" s="100" t="s">
        <v>193</v>
      </c>
      <c r="T12" s="77">
        <v>46800000</v>
      </c>
      <c r="V12" s="101" t="s">
        <v>92</v>
      </c>
      <c r="W12" s="80">
        <v>36000</v>
      </c>
      <c r="Y12" s="100" t="s">
        <v>163</v>
      </c>
      <c r="Z12" s="77">
        <v>20338290</v>
      </c>
      <c r="AD12" s="100" t="s">
        <v>166</v>
      </c>
      <c r="AE12" s="77">
        <v>8640000</v>
      </c>
      <c r="AG12" s="100" t="s">
        <v>176</v>
      </c>
      <c r="AH12" s="77">
        <v>7956000</v>
      </c>
      <c r="AM12" s="100" t="s">
        <v>208</v>
      </c>
      <c r="AN12" s="77">
        <v>1150000</v>
      </c>
    </row>
    <row r="13" spans="1:40" ht="29" thickBot="1" x14ac:dyDescent="0.35">
      <c r="A13" s="79">
        <v>10</v>
      </c>
      <c r="B13" s="78" t="s">
        <v>19</v>
      </c>
      <c r="C13" s="77">
        <v>71690505.299999997</v>
      </c>
      <c r="E13" s="79">
        <v>10</v>
      </c>
      <c r="F13" s="78" t="s">
        <v>163</v>
      </c>
      <c r="G13" s="77">
        <v>51023103</v>
      </c>
      <c r="H13" s="69"/>
      <c r="I13" s="102">
        <v>11</v>
      </c>
      <c r="J13" s="103" t="s">
        <v>125</v>
      </c>
      <c r="K13" s="80">
        <v>7500659.2000000002</v>
      </c>
      <c r="M13" s="100" t="s">
        <v>39</v>
      </c>
      <c r="N13" s="77">
        <v>7560000</v>
      </c>
      <c r="P13" s="100" t="s">
        <v>158</v>
      </c>
      <c r="Q13" s="77">
        <v>1950000</v>
      </c>
      <c r="S13" s="100" t="s">
        <v>177</v>
      </c>
      <c r="T13" s="77">
        <v>36000000</v>
      </c>
      <c r="Y13" s="100" t="s">
        <v>184</v>
      </c>
      <c r="Z13" s="77">
        <v>18000000</v>
      </c>
      <c r="AD13" s="100" t="s">
        <v>165</v>
      </c>
      <c r="AE13" s="77">
        <v>8500000</v>
      </c>
      <c r="AG13" s="100" t="s">
        <v>13</v>
      </c>
      <c r="AH13" s="77">
        <v>7833479.5199999996</v>
      </c>
      <c r="AM13" s="101" t="s">
        <v>163</v>
      </c>
      <c r="AN13" s="80">
        <v>770782.5</v>
      </c>
    </row>
    <row r="14" spans="1:40" x14ac:dyDescent="0.3">
      <c r="A14" s="79">
        <v>11</v>
      </c>
      <c r="B14" s="78" t="s">
        <v>177</v>
      </c>
      <c r="C14" s="77">
        <v>71200000</v>
      </c>
      <c r="E14" s="79">
        <v>11</v>
      </c>
      <c r="F14" s="78" t="s">
        <v>17</v>
      </c>
      <c r="G14" s="77">
        <v>45935494.950000003</v>
      </c>
      <c r="H14" s="69"/>
      <c r="M14" s="100" t="s">
        <v>21</v>
      </c>
      <c r="N14" s="77">
        <v>7399561.5</v>
      </c>
      <c r="P14" s="100" t="s">
        <v>124</v>
      </c>
      <c r="Q14" s="77">
        <v>1803060</v>
      </c>
      <c r="S14" s="100" t="s">
        <v>179</v>
      </c>
      <c r="T14" s="77">
        <v>35100000</v>
      </c>
      <c r="Y14" s="100" t="s">
        <v>178</v>
      </c>
      <c r="Z14" s="77">
        <v>17577000</v>
      </c>
      <c r="AD14" s="100" t="s">
        <v>20</v>
      </c>
      <c r="AE14" s="77">
        <v>7200000</v>
      </c>
      <c r="AG14" s="100" t="s">
        <v>173</v>
      </c>
      <c r="AH14" s="77">
        <v>7369600</v>
      </c>
    </row>
    <row r="15" spans="1:40" x14ac:dyDescent="0.3">
      <c r="A15" s="79">
        <v>12</v>
      </c>
      <c r="B15" s="78" t="s">
        <v>22</v>
      </c>
      <c r="C15" s="77">
        <v>67973430</v>
      </c>
      <c r="E15" s="79">
        <v>12</v>
      </c>
      <c r="F15" s="78" t="s">
        <v>13</v>
      </c>
      <c r="G15" s="77">
        <v>45571471.520000003</v>
      </c>
      <c r="H15" s="69"/>
      <c r="M15" s="100" t="s">
        <v>18</v>
      </c>
      <c r="N15" s="77">
        <v>6498063</v>
      </c>
      <c r="P15" s="100" t="s">
        <v>184</v>
      </c>
      <c r="Q15" s="77">
        <v>1600000</v>
      </c>
      <c r="S15" s="100" t="s">
        <v>198</v>
      </c>
      <c r="T15" s="77">
        <v>31860000</v>
      </c>
      <c r="Y15" s="100" t="s">
        <v>20</v>
      </c>
      <c r="Z15" s="77">
        <v>17500000</v>
      </c>
      <c r="AD15" s="100" t="s">
        <v>171</v>
      </c>
      <c r="AE15" s="77">
        <v>7200000</v>
      </c>
      <c r="AG15" s="100" t="s">
        <v>20</v>
      </c>
      <c r="AH15" s="77">
        <v>6580000</v>
      </c>
    </row>
    <row r="16" spans="1:40" ht="29" thickBot="1" x14ac:dyDescent="0.35">
      <c r="A16" s="79">
        <v>13</v>
      </c>
      <c r="B16" s="78" t="s">
        <v>196</v>
      </c>
      <c r="C16" s="77">
        <v>65610000</v>
      </c>
      <c r="E16" s="79">
        <v>13</v>
      </c>
      <c r="F16" s="78" t="s">
        <v>8</v>
      </c>
      <c r="G16" s="77">
        <v>44602502.7465</v>
      </c>
      <c r="H16" s="69"/>
      <c r="M16" s="100" t="s">
        <v>20</v>
      </c>
      <c r="N16" s="77">
        <v>6160000</v>
      </c>
      <c r="P16" s="101" t="s">
        <v>209</v>
      </c>
      <c r="Q16" s="80">
        <v>810000</v>
      </c>
      <c r="S16" s="100" t="s">
        <v>183</v>
      </c>
      <c r="T16" s="77">
        <v>30240000</v>
      </c>
      <c r="Y16" s="100" t="s">
        <v>176</v>
      </c>
      <c r="Z16" s="77">
        <v>16000000</v>
      </c>
      <c r="AD16" s="100" t="s">
        <v>16</v>
      </c>
      <c r="AE16" s="77">
        <v>5400000</v>
      </c>
      <c r="AG16" s="100" t="s">
        <v>66</v>
      </c>
      <c r="AH16" s="77">
        <v>5046140</v>
      </c>
    </row>
    <row r="17" spans="1:37" x14ac:dyDescent="0.3">
      <c r="A17" s="79">
        <v>14</v>
      </c>
      <c r="B17" s="78" t="s">
        <v>7</v>
      </c>
      <c r="C17" s="77">
        <v>64170000</v>
      </c>
      <c r="E17" s="79">
        <v>14</v>
      </c>
      <c r="F17" s="78" t="s">
        <v>20</v>
      </c>
      <c r="G17" s="77">
        <v>39540000</v>
      </c>
      <c r="H17" s="69"/>
      <c r="M17" s="100" t="s">
        <v>53</v>
      </c>
      <c r="N17" s="77">
        <v>6041854.8000000007</v>
      </c>
      <c r="S17" s="100" t="s">
        <v>194</v>
      </c>
      <c r="T17" s="77">
        <v>24300000</v>
      </c>
      <c r="Y17" s="100" t="s">
        <v>185</v>
      </c>
      <c r="Z17" s="77">
        <v>15480000</v>
      </c>
      <c r="AD17" s="100" t="s">
        <v>45</v>
      </c>
      <c r="AE17" s="77">
        <v>5346000</v>
      </c>
      <c r="AG17" s="100" t="s">
        <v>148</v>
      </c>
      <c r="AH17" s="77">
        <v>4000000</v>
      </c>
    </row>
    <row r="18" spans="1:37" x14ac:dyDescent="0.3">
      <c r="A18" s="79">
        <v>15</v>
      </c>
      <c r="B18" s="78" t="s">
        <v>21</v>
      </c>
      <c r="C18" s="77">
        <v>57569054.400000006</v>
      </c>
      <c r="E18" s="79">
        <v>15</v>
      </c>
      <c r="F18" s="78" t="s">
        <v>173</v>
      </c>
      <c r="G18" s="77">
        <v>36400000</v>
      </c>
      <c r="H18" s="69"/>
      <c r="M18" s="100" t="s">
        <v>17</v>
      </c>
      <c r="N18" s="77">
        <v>5765760</v>
      </c>
      <c r="S18" s="100" t="s">
        <v>171</v>
      </c>
      <c r="T18" s="77">
        <v>23400000</v>
      </c>
      <c r="Y18" s="100" t="s">
        <v>21</v>
      </c>
      <c r="Z18" s="77">
        <v>14670000</v>
      </c>
      <c r="AD18" s="100" t="s">
        <v>170</v>
      </c>
      <c r="AE18" s="77">
        <v>4320000</v>
      </c>
      <c r="AG18" s="100" t="s">
        <v>216</v>
      </c>
      <c r="AH18" s="77">
        <v>3978000</v>
      </c>
    </row>
    <row r="19" spans="1:37" x14ac:dyDescent="0.3">
      <c r="A19" s="79">
        <v>16</v>
      </c>
      <c r="B19" s="78" t="s">
        <v>175</v>
      </c>
      <c r="C19" s="77">
        <v>56000000</v>
      </c>
      <c r="E19" s="79">
        <v>16</v>
      </c>
      <c r="F19" s="78" t="s">
        <v>177</v>
      </c>
      <c r="G19" s="77">
        <v>35200000</v>
      </c>
      <c r="H19" s="69"/>
      <c r="M19" s="100" t="s">
        <v>170</v>
      </c>
      <c r="N19" s="77">
        <v>4320000</v>
      </c>
      <c r="S19" s="100" t="s">
        <v>124</v>
      </c>
      <c r="T19" s="77">
        <v>20520000</v>
      </c>
      <c r="Y19" s="100" t="s">
        <v>171</v>
      </c>
      <c r="Z19" s="77">
        <v>13500000</v>
      </c>
      <c r="AD19" s="100" t="s">
        <v>167</v>
      </c>
      <c r="AE19" s="77">
        <v>4320000</v>
      </c>
      <c r="AG19" s="100" t="s">
        <v>48</v>
      </c>
      <c r="AH19" s="77">
        <v>3938220</v>
      </c>
    </row>
    <row r="20" spans="1:37" x14ac:dyDescent="0.3">
      <c r="A20" s="79">
        <v>17</v>
      </c>
      <c r="B20" s="78" t="s">
        <v>163</v>
      </c>
      <c r="C20" s="77">
        <v>51023103</v>
      </c>
      <c r="E20" s="79">
        <v>17</v>
      </c>
      <c r="F20" s="78" t="s">
        <v>12</v>
      </c>
      <c r="G20" s="77">
        <v>31678327.800000004</v>
      </c>
      <c r="H20" s="69"/>
      <c r="M20" s="100" t="s">
        <v>191</v>
      </c>
      <c r="N20" s="77">
        <v>3666861</v>
      </c>
      <c r="S20" s="100" t="s">
        <v>197</v>
      </c>
      <c r="T20" s="77">
        <v>16650000</v>
      </c>
      <c r="Y20" s="100" t="s">
        <v>183</v>
      </c>
      <c r="Z20" s="77">
        <v>13230000</v>
      </c>
      <c r="AD20" s="100" t="s">
        <v>158</v>
      </c>
      <c r="AE20" s="77">
        <v>3240000</v>
      </c>
      <c r="AG20" s="100" t="s">
        <v>62</v>
      </c>
      <c r="AH20" s="77">
        <v>2973555</v>
      </c>
    </row>
    <row r="21" spans="1:37" x14ac:dyDescent="0.3">
      <c r="A21" s="79">
        <v>18</v>
      </c>
      <c r="B21" s="78" t="s">
        <v>193</v>
      </c>
      <c r="C21" s="77">
        <v>46800000</v>
      </c>
      <c r="E21" s="79">
        <v>18</v>
      </c>
      <c r="F21" s="78" t="s">
        <v>178</v>
      </c>
      <c r="G21" s="77">
        <v>30831360</v>
      </c>
      <c r="H21" s="69"/>
      <c r="M21" s="100" t="s">
        <v>158</v>
      </c>
      <c r="N21" s="77">
        <v>3240000</v>
      </c>
      <c r="S21" s="100" t="s">
        <v>199</v>
      </c>
      <c r="T21" s="77">
        <v>14400000</v>
      </c>
      <c r="Y21" s="100" t="s">
        <v>162</v>
      </c>
      <c r="Z21" s="77">
        <v>11002500</v>
      </c>
      <c r="AD21" s="100" t="s">
        <v>53</v>
      </c>
      <c r="AE21" s="77">
        <v>3013443</v>
      </c>
      <c r="AG21" s="100" t="s">
        <v>217</v>
      </c>
      <c r="AH21" s="77">
        <v>2800000</v>
      </c>
    </row>
    <row r="22" spans="1:37" ht="29" thickBot="1" x14ac:dyDescent="0.35">
      <c r="A22" s="79">
        <v>19</v>
      </c>
      <c r="B22" s="82" t="s">
        <v>17</v>
      </c>
      <c r="C22" s="80">
        <v>45935494.950000003</v>
      </c>
      <c r="E22" s="79">
        <v>19</v>
      </c>
      <c r="F22" s="78" t="s">
        <v>162</v>
      </c>
      <c r="G22" s="77">
        <v>30217500</v>
      </c>
      <c r="H22" s="69"/>
      <c r="M22" s="100" t="s">
        <v>58</v>
      </c>
      <c r="N22" s="77">
        <v>2900000</v>
      </c>
      <c r="S22" s="100" t="s">
        <v>122</v>
      </c>
      <c r="T22" s="77">
        <v>12000000</v>
      </c>
      <c r="Y22" s="100" t="s">
        <v>182</v>
      </c>
      <c r="Z22" s="77">
        <v>10800000</v>
      </c>
      <c r="AD22" s="100" t="s">
        <v>168</v>
      </c>
      <c r="AE22" s="77">
        <v>2700000</v>
      </c>
      <c r="AG22" s="100" t="s">
        <v>59</v>
      </c>
      <c r="AH22" s="77">
        <v>2720000</v>
      </c>
    </row>
    <row r="23" spans="1:37" ht="29" thickBot="1" x14ac:dyDescent="0.35">
      <c r="A23" s="104">
        <v>20</v>
      </c>
      <c r="B23" s="63" t="s">
        <v>13</v>
      </c>
      <c r="C23" s="69">
        <v>45571471.520000003</v>
      </c>
      <c r="E23" s="104">
        <v>20</v>
      </c>
      <c r="F23" s="82" t="s">
        <v>213</v>
      </c>
      <c r="G23" s="80">
        <v>29537920</v>
      </c>
      <c r="H23" s="69"/>
      <c r="M23" s="100" t="s">
        <v>163</v>
      </c>
      <c r="N23" s="77">
        <v>2804490</v>
      </c>
      <c r="S23" s="100" t="s">
        <v>192</v>
      </c>
      <c r="T23" s="77">
        <v>10200000</v>
      </c>
      <c r="Y23" s="100" t="s">
        <v>19</v>
      </c>
      <c r="Z23" s="77">
        <v>9747807.3000000007</v>
      </c>
      <c r="AD23" s="100" t="s">
        <v>70</v>
      </c>
      <c r="AE23" s="77">
        <v>2000000</v>
      </c>
      <c r="AG23" s="100" t="s">
        <v>61</v>
      </c>
      <c r="AH23" s="77">
        <v>2607900</v>
      </c>
    </row>
    <row r="24" spans="1:37" ht="29" thickTop="1" x14ac:dyDescent="0.3">
      <c r="B24" s="63" t="s">
        <v>171</v>
      </c>
      <c r="C24" s="69">
        <v>44100000</v>
      </c>
      <c r="F24" s="63" t="s">
        <v>186</v>
      </c>
      <c r="G24" s="69">
        <v>29520000</v>
      </c>
      <c r="H24" s="69"/>
      <c r="M24" s="100" t="s">
        <v>188</v>
      </c>
      <c r="N24" s="77">
        <v>2765400</v>
      </c>
      <c r="S24" s="100" t="s">
        <v>184</v>
      </c>
      <c r="T24" s="77">
        <v>8100000</v>
      </c>
      <c r="Y24" s="100" t="s">
        <v>181</v>
      </c>
      <c r="Z24" s="77">
        <v>7408800</v>
      </c>
      <c r="AD24" s="100" t="s">
        <v>163</v>
      </c>
      <c r="AE24" s="77">
        <v>1800000</v>
      </c>
      <c r="AG24" s="100" t="s">
        <v>42</v>
      </c>
      <c r="AH24" s="77">
        <v>2600000</v>
      </c>
    </row>
    <row r="25" spans="1:37" ht="29" thickBot="1" x14ac:dyDescent="0.35">
      <c r="B25" s="63" t="s">
        <v>183</v>
      </c>
      <c r="C25" s="69">
        <v>43470000</v>
      </c>
      <c r="F25" s="63" t="s">
        <v>10</v>
      </c>
      <c r="G25" s="69">
        <v>29020452.600000001</v>
      </c>
      <c r="H25" s="69"/>
      <c r="M25" s="100" t="s">
        <v>43</v>
      </c>
      <c r="N25" s="77">
        <v>2200116.5999999996</v>
      </c>
      <c r="S25" s="100" t="s">
        <v>79</v>
      </c>
      <c r="T25" s="77">
        <v>6885000</v>
      </c>
      <c r="Y25" s="100" t="s">
        <v>168</v>
      </c>
      <c r="Z25" s="77">
        <v>6840000</v>
      </c>
      <c r="AD25" s="101" t="s">
        <v>169</v>
      </c>
      <c r="AE25" s="80">
        <v>1800000</v>
      </c>
      <c r="AG25" s="100" t="s">
        <v>65</v>
      </c>
      <c r="AH25" s="77">
        <v>2516085</v>
      </c>
    </row>
    <row r="26" spans="1:37" ht="29" thickBot="1" x14ac:dyDescent="0.35">
      <c r="B26" s="63" t="s">
        <v>179</v>
      </c>
      <c r="C26" s="69">
        <v>40140000</v>
      </c>
      <c r="F26" s="63" t="s">
        <v>190</v>
      </c>
      <c r="G26" s="69">
        <v>28530000</v>
      </c>
      <c r="H26" s="69"/>
      <c r="M26" s="101" t="s">
        <v>61</v>
      </c>
      <c r="N26" s="80">
        <v>1871100</v>
      </c>
      <c r="S26" s="101" t="s">
        <v>195</v>
      </c>
      <c r="T26" s="80">
        <v>3240000</v>
      </c>
      <c r="Y26" s="100" t="s">
        <v>179</v>
      </c>
      <c r="Z26" s="77">
        <v>5040000</v>
      </c>
      <c r="AG26" s="100" t="s">
        <v>224</v>
      </c>
      <c r="AH26" s="77">
        <v>2000000</v>
      </c>
    </row>
    <row r="27" spans="1:37" ht="29" thickBot="1" x14ac:dyDescent="0.35">
      <c r="B27" s="63" t="s">
        <v>20</v>
      </c>
      <c r="C27" s="69">
        <v>39540000</v>
      </c>
      <c r="F27" s="63" t="s">
        <v>66</v>
      </c>
      <c r="G27" s="69">
        <v>28246140</v>
      </c>
      <c r="H27" s="69"/>
      <c r="Y27" s="101" t="s">
        <v>180</v>
      </c>
      <c r="Z27" s="80">
        <v>4950000</v>
      </c>
      <c r="AG27" s="100" t="s">
        <v>225</v>
      </c>
      <c r="AH27" s="77">
        <v>2000000</v>
      </c>
      <c r="AK27" s="69"/>
    </row>
    <row r="28" spans="1:37" x14ac:dyDescent="0.3">
      <c r="B28" s="63" t="s">
        <v>173</v>
      </c>
      <c r="C28" s="69">
        <v>36400000</v>
      </c>
      <c r="F28" s="63" t="s">
        <v>184</v>
      </c>
      <c r="G28" s="69">
        <v>25553500</v>
      </c>
      <c r="H28" s="69"/>
      <c r="AG28" s="100" t="s">
        <v>192</v>
      </c>
      <c r="AH28" s="77">
        <v>1284000</v>
      </c>
    </row>
    <row r="29" spans="1:37" x14ac:dyDescent="0.3">
      <c r="B29" s="63" t="s">
        <v>184</v>
      </c>
      <c r="C29" s="69">
        <v>33653500</v>
      </c>
      <c r="F29" s="63" t="s">
        <v>37</v>
      </c>
      <c r="G29" s="69">
        <v>25206576.600000001</v>
      </c>
      <c r="H29" s="69"/>
      <c r="AG29" s="100" t="s">
        <v>222</v>
      </c>
      <c r="AH29" s="77">
        <v>1275000</v>
      </c>
    </row>
    <row r="30" spans="1:37" x14ac:dyDescent="0.3">
      <c r="B30" s="63" t="s">
        <v>198</v>
      </c>
      <c r="C30" s="69">
        <v>31860000</v>
      </c>
      <c r="F30" s="63" t="s">
        <v>176</v>
      </c>
      <c r="G30" s="69">
        <v>23956000</v>
      </c>
      <c r="H30" s="69"/>
      <c r="AG30" s="100" t="s">
        <v>223</v>
      </c>
      <c r="AH30" s="77">
        <v>1224231.9999999998</v>
      </c>
    </row>
    <row r="31" spans="1:37" x14ac:dyDescent="0.3">
      <c r="B31" s="63" t="s">
        <v>12</v>
      </c>
      <c r="C31" s="69">
        <v>31678327.800000004</v>
      </c>
      <c r="F31" s="63" t="s">
        <v>38</v>
      </c>
      <c r="G31" s="69">
        <v>22770000</v>
      </c>
      <c r="H31" s="69"/>
      <c r="AG31" s="100" t="s">
        <v>167</v>
      </c>
      <c r="AH31" s="77">
        <v>1080000</v>
      </c>
    </row>
    <row r="32" spans="1:37" x14ac:dyDescent="0.3">
      <c r="B32" s="63" t="s">
        <v>162</v>
      </c>
      <c r="C32" s="69">
        <v>30217500</v>
      </c>
      <c r="F32" s="63" t="s">
        <v>221</v>
      </c>
      <c r="G32" s="69">
        <v>22407000</v>
      </c>
      <c r="H32" s="69"/>
      <c r="AG32" s="100" t="s">
        <v>218</v>
      </c>
      <c r="AH32" s="77">
        <v>892500</v>
      </c>
    </row>
    <row r="33" spans="2:34" x14ac:dyDescent="0.3">
      <c r="B33" s="63" t="s">
        <v>213</v>
      </c>
      <c r="C33" s="69">
        <v>29537920</v>
      </c>
      <c r="F33" s="63" t="s">
        <v>170</v>
      </c>
      <c r="G33" s="69">
        <v>20790000</v>
      </c>
      <c r="H33" s="69"/>
      <c r="AG33" s="100" t="s">
        <v>83</v>
      </c>
      <c r="AH33" s="77">
        <v>720000</v>
      </c>
    </row>
    <row r="34" spans="2:34" x14ac:dyDescent="0.3">
      <c r="B34" s="63" t="s">
        <v>186</v>
      </c>
      <c r="C34" s="69">
        <v>29520000</v>
      </c>
      <c r="F34" s="63" t="s">
        <v>171</v>
      </c>
      <c r="G34" s="69">
        <v>20700000</v>
      </c>
      <c r="H34" s="69"/>
      <c r="AG34" s="100" t="s">
        <v>72</v>
      </c>
      <c r="AH34" s="77">
        <v>680000</v>
      </c>
    </row>
    <row r="35" spans="2:34" x14ac:dyDescent="0.3">
      <c r="B35" s="63" t="s">
        <v>190</v>
      </c>
      <c r="C35" s="69">
        <v>28530000</v>
      </c>
      <c r="F35" s="63" t="s">
        <v>16</v>
      </c>
      <c r="G35" s="69">
        <v>20518000</v>
      </c>
      <c r="H35" s="69"/>
      <c r="AG35" s="100" t="s">
        <v>219</v>
      </c>
      <c r="AH35" s="77">
        <v>440000</v>
      </c>
    </row>
    <row r="36" spans="2:34" ht="29" thickBot="1" x14ac:dyDescent="0.35">
      <c r="B36" s="63" t="s">
        <v>66</v>
      </c>
      <c r="C36" s="69">
        <v>28246140</v>
      </c>
      <c r="F36" s="63" t="s">
        <v>53</v>
      </c>
      <c r="G36" s="69">
        <v>19674791.300000001</v>
      </c>
      <c r="H36" s="69"/>
      <c r="AG36" s="101" t="s">
        <v>211</v>
      </c>
      <c r="AH36" s="80">
        <v>200000</v>
      </c>
    </row>
    <row r="37" spans="2:34" x14ac:dyDescent="0.3">
      <c r="B37" s="63" t="s">
        <v>194</v>
      </c>
      <c r="C37" s="69">
        <v>24300000</v>
      </c>
      <c r="F37" s="63" t="s">
        <v>189</v>
      </c>
      <c r="G37" s="69">
        <v>18900000</v>
      </c>
      <c r="H37" s="69"/>
    </row>
    <row r="38" spans="2:34" x14ac:dyDescent="0.3">
      <c r="B38" s="63" t="s">
        <v>176</v>
      </c>
      <c r="C38" s="69">
        <v>23956000</v>
      </c>
      <c r="F38" s="63" t="s">
        <v>111</v>
      </c>
      <c r="G38" s="69">
        <v>16245700</v>
      </c>
      <c r="H38" s="69"/>
    </row>
    <row r="39" spans="2:34" x14ac:dyDescent="0.3">
      <c r="B39" s="63" t="s">
        <v>38</v>
      </c>
      <c r="C39" s="69">
        <v>22770000</v>
      </c>
      <c r="F39" s="63" t="s">
        <v>24</v>
      </c>
      <c r="G39" s="69">
        <v>16199999.927999999</v>
      </c>
      <c r="H39" s="69"/>
    </row>
    <row r="40" spans="2:34" x14ac:dyDescent="0.3">
      <c r="B40" s="63" t="s">
        <v>221</v>
      </c>
      <c r="C40" s="69">
        <v>22407000</v>
      </c>
      <c r="F40" s="63" t="s">
        <v>185</v>
      </c>
      <c r="G40" s="69">
        <v>15480000</v>
      </c>
      <c r="H40" s="69"/>
    </row>
    <row r="41" spans="2:34" x14ac:dyDescent="0.3">
      <c r="B41" s="63" t="s">
        <v>124</v>
      </c>
      <c r="C41" s="69">
        <v>22323060</v>
      </c>
      <c r="F41" s="63" t="s">
        <v>200</v>
      </c>
      <c r="G41" s="69">
        <v>15200000</v>
      </c>
      <c r="H41" s="69"/>
    </row>
    <row r="42" spans="2:34" x14ac:dyDescent="0.3">
      <c r="B42" s="63" t="s">
        <v>170</v>
      </c>
      <c r="C42" s="69">
        <v>20790000</v>
      </c>
      <c r="F42" s="63" t="s">
        <v>27</v>
      </c>
      <c r="G42" s="69">
        <v>15000000</v>
      </c>
      <c r="H42" s="69"/>
    </row>
    <row r="43" spans="2:34" x14ac:dyDescent="0.3">
      <c r="B43" s="63" t="s">
        <v>16</v>
      </c>
      <c r="C43" s="69">
        <v>20518000</v>
      </c>
      <c r="F43" s="63" t="s">
        <v>183</v>
      </c>
      <c r="G43" s="69">
        <v>13230000</v>
      </c>
      <c r="H43" s="69"/>
    </row>
    <row r="44" spans="2:34" x14ac:dyDescent="0.3">
      <c r="B44" s="63" t="s">
        <v>53</v>
      </c>
      <c r="C44" s="69">
        <v>19674791.300000001</v>
      </c>
      <c r="F44" s="63" t="s">
        <v>158</v>
      </c>
      <c r="G44" s="69">
        <v>12630000</v>
      </c>
      <c r="H44" s="69"/>
    </row>
    <row r="45" spans="2:34" x14ac:dyDescent="0.3">
      <c r="B45" s="63" t="s">
        <v>189</v>
      </c>
      <c r="C45" s="69">
        <v>18900000</v>
      </c>
      <c r="F45" s="63" t="s">
        <v>182</v>
      </c>
      <c r="G45" s="69">
        <v>10800000</v>
      </c>
      <c r="H45" s="69"/>
    </row>
    <row r="46" spans="2:34" x14ac:dyDescent="0.3">
      <c r="B46" s="63" t="s">
        <v>197</v>
      </c>
      <c r="C46" s="69">
        <v>16650000</v>
      </c>
      <c r="F46" s="63" t="s">
        <v>42</v>
      </c>
      <c r="G46" s="69">
        <v>10400000</v>
      </c>
      <c r="H46" s="69"/>
    </row>
    <row r="47" spans="2:34" x14ac:dyDescent="0.3">
      <c r="B47" s="63" t="s">
        <v>111</v>
      </c>
      <c r="C47" s="69">
        <v>16245700</v>
      </c>
      <c r="F47" s="63" t="s">
        <v>48</v>
      </c>
      <c r="G47" s="69">
        <v>10098220</v>
      </c>
      <c r="H47" s="69"/>
    </row>
    <row r="48" spans="2:34" x14ac:dyDescent="0.3">
      <c r="B48" s="63" t="s">
        <v>24</v>
      </c>
      <c r="C48" s="69">
        <v>16199999.927999999</v>
      </c>
      <c r="F48" s="63" t="s">
        <v>220</v>
      </c>
      <c r="G48" s="69">
        <v>10000000</v>
      </c>
      <c r="H48" s="69"/>
    </row>
    <row r="49" spans="2:8" x14ac:dyDescent="0.3">
      <c r="B49" s="63" t="s">
        <v>185</v>
      </c>
      <c r="C49" s="69">
        <v>15480000</v>
      </c>
      <c r="F49" s="63" t="s">
        <v>168</v>
      </c>
      <c r="G49" s="69">
        <v>9540000</v>
      </c>
      <c r="H49" s="69"/>
    </row>
    <row r="50" spans="2:8" x14ac:dyDescent="0.3">
      <c r="B50" s="63" t="s">
        <v>200</v>
      </c>
      <c r="C50" s="69">
        <v>15200000</v>
      </c>
      <c r="F50" s="63" t="s">
        <v>166</v>
      </c>
      <c r="G50" s="69">
        <v>8640000</v>
      </c>
      <c r="H50" s="69"/>
    </row>
    <row r="51" spans="2:8" x14ac:dyDescent="0.3">
      <c r="B51" s="63" t="s">
        <v>27</v>
      </c>
      <c r="C51" s="69">
        <v>15000000</v>
      </c>
      <c r="F51" s="63" t="s">
        <v>165</v>
      </c>
      <c r="G51" s="69">
        <v>8500000</v>
      </c>
      <c r="H51" s="69"/>
    </row>
    <row r="52" spans="2:8" x14ac:dyDescent="0.3">
      <c r="B52" s="63" t="s">
        <v>158</v>
      </c>
      <c r="C52" s="69">
        <v>12630000</v>
      </c>
      <c r="F52" s="63" t="s">
        <v>39</v>
      </c>
      <c r="G52" s="69">
        <v>7560000</v>
      </c>
      <c r="H52" s="69"/>
    </row>
    <row r="53" spans="2:8" x14ac:dyDescent="0.3">
      <c r="B53" s="63" t="s">
        <v>192</v>
      </c>
      <c r="C53" s="69">
        <v>11484000</v>
      </c>
      <c r="F53" s="63" t="s">
        <v>181</v>
      </c>
      <c r="G53" s="69">
        <v>7408800</v>
      </c>
      <c r="H53" s="69"/>
    </row>
    <row r="54" spans="2:8" x14ac:dyDescent="0.3">
      <c r="B54" s="63" t="s">
        <v>182</v>
      </c>
      <c r="C54" s="69">
        <v>10800000</v>
      </c>
      <c r="F54" s="63" t="s">
        <v>61</v>
      </c>
      <c r="G54" s="69">
        <v>7314000</v>
      </c>
      <c r="H54" s="69"/>
    </row>
    <row r="55" spans="2:8" x14ac:dyDescent="0.3">
      <c r="B55" s="63" t="s">
        <v>42</v>
      </c>
      <c r="C55" s="69">
        <v>10400000</v>
      </c>
      <c r="F55" s="63" t="s">
        <v>191</v>
      </c>
      <c r="G55" s="69">
        <v>7160195</v>
      </c>
      <c r="H55" s="69"/>
    </row>
    <row r="56" spans="2:8" x14ac:dyDescent="0.3">
      <c r="B56" s="63" t="s">
        <v>48</v>
      </c>
      <c r="C56" s="69">
        <v>10098220</v>
      </c>
      <c r="F56" s="63" t="s">
        <v>122</v>
      </c>
      <c r="G56" s="69">
        <v>5400000</v>
      </c>
      <c r="H56" s="69"/>
    </row>
    <row r="57" spans="2:8" x14ac:dyDescent="0.3">
      <c r="B57" s="63" t="s">
        <v>220</v>
      </c>
      <c r="C57" s="69">
        <v>10000000</v>
      </c>
      <c r="F57" s="63" t="s">
        <v>167</v>
      </c>
      <c r="G57" s="69">
        <v>5400000</v>
      </c>
      <c r="H57" s="69"/>
    </row>
    <row r="58" spans="2:8" x14ac:dyDescent="0.3">
      <c r="B58" s="63" t="s">
        <v>168</v>
      </c>
      <c r="C58" s="69">
        <v>9540000</v>
      </c>
      <c r="F58" s="63" t="s">
        <v>44</v>
      </c>
      <c r="G58" s="69">
        <v>5400000</v>
      </c>
      <c r="H58" s="69"/>
    </row>
    <row r="59" spans="2:8" x14ac:dyDescent="0.3">
      <c r="B59" s="63" t="s">
        <v>166</v>
      </c>
      <c r="C59" s="69">
        <v>8640000</v>
      </c>
      <c r="F59" s="63" t="s">
        <v>45</v>
      </c>
      <c r="G59" s="69">
        <v>5346000</v>
      </c>
      <c r="H59" s="69"/>
    </row>
    <row r="60" spans="2:8" x14ac:dyDescent="0.3">
      <c r="B60" s="63" t="s">
        <v>165</v>
      </c>
      <c r="C60" s="69">
        <v>8500000</v>
      </c>
      <c r="F60" s="63" t="s">
        <v>179</v>
      </c>
      <c r="G60" s="69">
        <v>5040000</v>
      </c>
      <c r="H60" s="69"/>
    </row>
    <row r="61" spans="2:8" x14ac:dyDescent="0.3">
      <c r="B61" s="63" t="s">
        <v>122</v>
      </c>
      <c r="C61" s="69">
        <v>8281125</v>
      </c>
      <c r="F61" s="63" t="s">
        <v>180</v>
      </c>
      <c r="G61" s="69">
        <v>4950000</v>
      </c>
      <c r="H61" s="69"/>
    </row>
    <row r="62" spans="2:8" x14ac:dyDescent="0.3">
      <c r="B62" s="63" t="s">
        <v>79</v>
      </c>
      <c r="C62" s="69">
        <v>7666200</v>
      </c>
      <c r="F62" s="63" t="s">
        <v>43</v>
      </c>
      <c r="G62" s="69">
        <v>4927734.8999999994</v>
      </c>
      <c r="H62" s="69"/>
    </row>
    <row r="63" spans="2:8" x14ac:dyDescent="0.3">
      <c r="B63" s="63" t="s">
        <v>39</v>
      </c>
      <c r="C63" s="69">
        <v>7560000</v>
      </c>
      <c r="F63" s="63" t="s">
        <v>201</v>
      </c>
      <c r="G63" s="69">
        <v>4680000</v>
      </c>
      <c r="H63" s="69"/>
    </row>
    <row r="64" spans="2:8" x14ac:dyDescent="0.3">
      <c r="B64" s="63" t="s">
        <v>181</v>
      </c>
      <c r="C64" s="69">
        <v>7408800</v>
      </c>
      <c r="F64" s="63" t="s">
        <v>204</v>
      </c>
      <c r="G64" s="69">
        <v>4617000</v>
      </c>
      <c r="H64" s="69"/>
    </row>
    <row r="65" spans="2:8" x14ac:dyDescent="0.3">
      <c r="B65" s="63" t="s">
        <v>61</v>
      </c>
      <c r="C65" s="69">
        <v>7314000</v>
      </c>
      <c r="F65" s="63" t="s">
        <v>148</v>
      </c>
      <c r="G65" s="69">
        <v>4000000</v>
      </c>
      <c r="H65" s="69"/>
    </row>
    <row r="66" spans="2:8" x14ac:dyDescent="0.3">
      <c r="B66" s="63" t="s">
        <v>191</v>
      </c>
      <c r="C66" s="69">
        <v>7160195</v>
      </c>
      <c r="F66" s="63" t="s">
        <v>216</v>
      </c>
      <c r="G66" s="69">
        <v>3978000</v>
      </c>
      <c r="H66" s="69"/>
    </row>
    <row r="67" spans="2:8" x14ac:dyDescent="0.3">
      <c r="B67" s="63" t="s">
        <v>167</v>
      </c>
      <c r="C67" s="69">
        <v>5400000</v>
      </c>
      <c r="F67" s="63" t="s">
        <v>115</v>
      </c>
      <c r="G67" s="69">
        <v>3052000</v>
      </c>
      <c r="H67" s="69"/>
    </row>
    <row r="68" spans="2:8" x14ac:dyDescent="0.3">
      <c r="B68" s="63" t="s">
        <v>44</v>
      </c>
      <c r="C68" s="69">
        <v>5400000</v>
      </c>
      <c r="F68" s="63" t="s">
        <v>62</v>
      </c>
      <c r="G68" s="69">
        <v>2973555</v>
      </c>
      <c r="H68" s="69"/>
    </row>
    <row r="69" spans="2:8" x14ac:dyDescent="0.3">
      <c r="B69" s="63" t="s">
        <v>45</v>
      </c>
      <c r="C69" s="69">
        <v>5346000</v>
      </c>
      <c r="F69" s="63" t="s">
        <v>58</v>
      </c>
      <c r="G69" s="69">
        <v>2900000</v>
      </c>
      <c r="H69" s="69"/>
    </row>
    <row r="70" spans="2:8" x14ac:dyDescent="0.3">
      <c r="B70" s="63" t="s">
        <v>180</v>
      </c>
      <c r="C70" s="69">
        <v>4950000</v>
      </c>
      <c r="F70" s="63" t="s">
        <v>205</v>
      </c>
      <c r="G70" s="69">
        <v>2880000</v>
      </c>
      <c r="H70" s="69"/>
    </row>
    <row r="71" spans="2:8" x14ac:dyDescent="0.3">
      <c r="B71" s="63" t="s">
        <v>43</v>
      </c>
      <c r="C71" s="69">
        <v>4927734.8999999994</v>
      </c>
      <c r="F71" s="63" t="s">
        <v>217</v>
      </c>
      <c r="G71" s="69">
        <v>2800000</v>
      </c>
      <c r="H71" s="69"/>
    </row>
    <row r="72" spans="2:8" x14ac:dyDescent="0.3">
      <c r="B72" s="63" t="s">
        <v>201</v>
      </c>
      <c r="C72" s="69">
        <v>4680000</v>
      </c>
      <c r="F72" s="63" t="s">
        <v>188</v>
      </c>
      <c r="G72" s="69">
        <v>2765400</v>
      </c>
      <c r="H72" s="69"/>
    </row>
    <row r="73" spans="2:8" x14ac:dyDescent="0.3">
      <c r="B73" s="63" t="s">
        <v>204</v>
      </c>
      <c r="C73" s="69">
        <v>4617000</v>
      </c>
      <c r="F73" s="63" t="s">
        <v>59</v>
      </c>
      <c r="G73" s="69">
        <v>2720000</v>
      </c>
      <c r="H73" s="69"/>
    </row>
    <row r="74" spans="2:8" x14ac:dyDescent="0.3">
      <c r="B74" s="63" t="s">
        <v>148</v>
      </c>
      <c r="C74" s="69">
        <v>4000000</v>
      </c>
      <c r="F74" s="63" t="s">
        <v>65</v>
      </c>
      <c r="G74" s="69">
        <v>2516085</v>
      </c>
      <c r="H74" s="69"/>
    </row>
    <row r="75" spans="2:8" x14ac:dyDescent="0.3">
      <c r="B75" s="63" t="s">
        <v>216</v>
      </c>
      <c r="C75" s="69">
        <v>3978000</v>
      </c>
      <c r="F75" s="63" t="s">
        <v>159</v>
      </c>
      <c r="G75" s="69">
        <v>2461538.4</v>
      </c>
      <c r="H75" s="69"/>
    </row>
    <row r="76" spans="2:8" x14ac:dyDescent="0.3">
      <c r="B76" s="63" t="s">
        <v>195</v>
      </c>
      <c r="C76" s="69">
        <v>3240000</v>
      </c>
      <c r="F76" s="63" t="s">
        <v>67</v>
      </c>
      <c r="G76" s="69">
        <v>2412000</v>
      </c>
      <c r="H76" s="69"/>
    </row>
    <row r="77" spans="2:8" x14ac:dyDescent="0.3">
      <c r="B77" s="63" t="s">
        <v>115</v>
      </c>
      <c r="C77" s="69">
        <v>3052000</v>
      </c>
      <c r="F77" s="63" t="s">
        <v>224</v>
      </c>
      <c r="G77" s="69">
        <v>2000000</v>
      </c>
      <c r="H77" s="69"/>
    </row>
    <row r="78" spans="2:8" x14ac:dyDescent="0.3">
      <c r="B78" s="63" t="s">
        <v>62</v>
      </c>
      <c r="C78" s="69">
        <v>2973555</v>
      </c>
      <c r="F78" s="63" t="s">
        <v>70</v>
      </c>
      <c r="G78" s="69">
        <v>2000000</v>
      </c>
      <c r="H78" s="69"/>
    </row>
    <row r="79" spans="2:8" x14ac:dyDescent="0.3">
      <c r="B79" s="63" t="s">
        <v>58</v>
      </c>
      <c r="C79" s="69">
        <v>2900000</v>
      </c>
      <c r="F79" s="63" t="s">
        <v>225</v>
      </c>
      <c r="G79" s="69">
        <v>2000000</v>
      </c>
      <c r="H79" s="69"/>
    </row>
    <row r="80" spans="2:8" x14ac:dyDescent="0.3">
      <c r="B80" s="63" t="s">
        <v>199</v>
      </c>
      <c r="C80" s="69">
        <v>2881125</v>
      </c>
      <c r="F80" s="63" t="s">
        <v>124</v>
      </c>
      <c r="G80" s="69">
        <v>1803060</v>
      </c>
      <c r="H80" s="69"/>
    </row>
    <row r="81" spans="2:8" x14ac:dyDescent="0.3">
      <c r="B81" s="63" t="s">
        <v>205</v>
      </c>
      <c r="C81" s="69">
        <v>2880000</v>
      </c>
      <c r="F81" s="63" t="s">
        <v>169</v>
      </c>
      <c r="G81" s="69">
        <v>1800000</v>
      </c>
      <c r="H81" s="69"/>
    </row>
    <row r="82" spans="2:8" x14ac:dyDescent="0.3">
      <c r="B82" s="63" t="s">
        <v>217</v>
      </c>
      <c r="C82" s="69">
        <v>2800000</v>
      </c>
      <c r="F82" s="63" t="s">
        <v>85</v>
      </c>
      <c r="G82" s="69">
        <v>1800000</v>
      </c>
      <c r="H82" s="69"/>
    </row>
    <row r="83" spans="2:8" x14ac:dyDescent="0.3">
      <c r="B83" s="63" t="s">
        <v>188</v>
      </c>
      <c r="C83" s="69">
        <v>2765400</v>
      </c>
      <c r="F83" s="63" t="s">
        <v>161</v>
      </c>
      <c r="G83" s="69">
        <v>1720000</v>
      </c>
      <c r="H83" s="69"/>
    </row>
    <row r="84" spans="2:8" x14ac:dyDescent="0.3">
      <c r="B84" s="63" t="s">
        <v>59</v>
      </c>
      <c r="C84" s="69">
        <v>2720000</v>
      </c>
      <c r="F84" s="63" t="s">
        <v>214</v>
      </c>
      <c r="G84" s="69">
        <v>1695684.44</v>
      </c>
      <c r="H84" s="69"/>
    </row>
    <row r="85" spans="2:8" x14ac:dyDescent="0.3">
      <c r="B85" s="63" t="s">
        <v>65</v>
      </c>
      <c r="C85" s="69">
        <v>2516085</v>
      </c>
      <c r="F85" s="63" t="s">
        <v>215</v>
      </c>
      <c r="G85" s="69">
        <v>1600000</v>
      </c>
      <c r="H85" s="69"/>
    </row>
    <row r="86" spans="2:8" x14ac:dyDescent="0.3">
      <c r="B86" s="63" t="s">
        <v>159</v>
      </c>
      <c r="C86" s="69">
        <v>2461538.4</v>
      </c>
      <c r="F86" s="63" t="s">
        <v>207</v>
      </c>
      <c r="G86" s="69">
        <v>1350000</v>
      </c>
      <c r="H86" s="69"/>
    </row>
    <row r="87" spans="2:8" x14ac:dyDescent="0.3">
      <c r="B87" s="63" t="s">
        <v>67</v>
      </c>
      <c r="C87" s="69">
        <v>2412000</v>
      </c>
      <c r="F87" s="63" t="s">
        <v>202</v>
      </c>
      <c r="G87" s="69">
        <v>1326042.8999999999</v>
      </c>
      <c r="H87" s="69"/>
    </row>
    <row r="88" spans="2:8" x14ac:dyDescent="0.3">
      <c r="B88" s="63" t="s">
        <v>224</v>
      </c>
      <c r="C88" s="69">
        <v>2000000</v>
      </c>
      <c r="F88" s="63" t="s">
        <v>192</v>
      </c>
      <c r="G88" s="69">
        <v>1284000</v>
      </c>
      <c r="H88" s="69"/>
    </row>
    <row r="89" spans="2:8" x14ac:dyDescent="0.3">
      <c r="B89" s="63" t="s">
        <v>70</v>
      </c>
      <c r="C89" s="69">
        <v>2000000</v>
      </c>
      <c r="F89" s="63" t="s">
        <v>222</v>
      </c>
      <c r="G89" s="69">
        <v>1275000</v>
      </c>
      <c r="H89" s="69"/>
    </row>
    <row r="90" spans="2:8" x14ac:dyDescent="0.3">
      <c r="B90" s="63" t="s">
        <v>225</v>
      </c>
      <c r="C90" s="69">
        <v>2000000</v>
      </c>
      <c r="F90" s="63" t="s">
        <v>223</v>
      </c>
      <c r="G90" s="69">
        <v>1224231.9999999998</v>
      </c>
      <c r="H90" s="69"/>
    </row>
    <row r="91" spans="2:8" x14ac:dyDescent="0.3">
      <c r="B91" s="63" t="s">
        <v>169</v>
      </c>
      <c r="C91" s="69">
        <v>1800000</v>
      </c>
      <c r="F91" s="63" t="s">
        <v>210</v>
      </c>
      <c r="G91" s="69">
        <v>1200000</v>
      </c>
      <c r="H91" s="69"/>
    </row>
    <row r="92" spans="2:8" x14ac:dyDescent="0.3">
      <c r="B92" s="63" t="s">
        <v>85</v>
      </c>
      <c r="C92" s="69">
        <v>1800000</v>
      </c>
      <c r="F92" s="63" t="s">
        <v>208</v>
      </c>
      <c r="G92" s="69">
        <v>1150000</v>
      </c>
      <c r="H92" s="69"/>
    </row>
    <row r="93" spans="2:8" x14ac:dyDescent="0.3">
      <c r="B93" s="63" t="s">
        <v>161</v>
      </c>
      <c r="C93" s="69">
        <v>1720000</v>
      </c>
      <c r="F93" s="63" t="s">
        <v>218</v>
      </c>
      <c r="G93" s="69">
        <v>892500</v>
      </c>
      <c r="H93" s="69"/>
    </row>
    <row r="94" spans="2:8" x14ac:dyDescent="0.3">
      <c r="B94" s="63" t="s">
        <v>214</v>
      </c>
      <c r="C94" s="69">
        <v>1695684.44</v>
      </c>
      <c r="F94" s="63" t="s">
        <v>203</v>
      </c>
      <c r="G94" s="69">
        <v>811111.5</v>
      </c>
      <c r="H94" s="69"/>
    </row>
    <row r="95" spans="2:8" x14ac:dyDescent="0.3">
      <c r="B95" s="63" t="s">
        <v>215</v>
      </c>
      <c r="C95" s="69">
        <v>1600000</v>
      </c>
      <c r="F95" s="63" t="s">
        <v>209</v>
      </c>
      <c r="G95" s="69">
        <v>810000</v>
      </c>
      <c r="H95" s="69"/>
    </row>
    <row r="96" spans="2:8" x14ac:dyDescent="0.3">
      <c r="B96" s="63" t="s">
        <v>207</v>
      </c>
      <c r="C96" s="69">
        <v>1350000</v>
      </c>
      <c r="F96" s="63" t="s">
        <v>211</v>
      </c>
      <c r="G96" s="69">
        <v>800000</v>
      </c>
      <c r="H96" s="69"/>
    </row>
    <row r="97" spans="2:8" x14ac:dyDescent="0.3">
      <c r="B97" s="63" t="s">
        <v>202</v>
      </c>
      <c r="C97" s="69">
        <v>1326042.8999999999</v>
      </c>
      <c r="F97" s="63" t="s">
        <v>79</v>
      </c>
      <c r="G97" s="69">
        <v>781200</v>
      </c>
      <c r="H97" s="69"/>
    </row>
    <row r="98" spans="2:8" x14ac:dyDescent="0.3">
      <c r="B98" s="63" t="s">
        <v>222</v>
      </c>
      <c r="C98" s="69">
        <v>1275000</v>
      </c>
      <c r="F98" s="63" t="s">
        <v>78</v>
      </c>
      <c r="G98" s="69">
        <v>764733.68449438189</v>
      </c>
      <c r="H98" s="69"/>
    </row>
    <row r="99" spans="2:8" x14ac:dyDescent="0.3">
      <c r="B99" s="63" t="s">
        <v>223</v>
      </c>
      <c r="C99" s="69">
        <v>1224231.9999999998</v>
      </c>
      <c r="F99" s="63" t="s">
        <v>83</v>
      </c>
      <c r="G99" s="69">
        <v>720000</v>
      </c>
      <c r="H99" s="69"/>
    </row>
    <row r="100" spans="2:8" x14ac:dyDescent="0.3">
      <c r="B100" s="63" t="s">
        <v>210</v>
      </c>
      <c r="C100" s="69">
        <v>1200000</v>
      </c>
      <c r="F100" s="63" t="s">
        <v>72</v>
      </c>
      <c r="G100" s="69">
        <v>680000</v>
      </c>
      <c r="H100" s="69"/>
    </row>
    <row r="101" spans="2:8" x14ac:dyDescent="0.3">
      <c r="B101" s="63" t="s">
        <v>208</v>
      </c>
      <c r="C101" s="69">
        <v>1150000</v>
      </c>
      <c r="F101" s="63" t="s">
        <v>160</v>
      </c>
      <c r="G101" s="69">
        <v>600000</v>
      </c>
      <c r="H101" s="69"/>
    </row>
    <row r="102" spans="2:8" x14ac:dyDescent="0.3">
      <c r="B102" s="63" t="s">
        <v>218</v>
      </c>
      <c r="C102" s="69">
        <v>892500</v>
      </c>
      <c r="F102" s="63" t="s">
        <v>219</v>
      </c>
      <c r="G102" s="69">
        <v>440000</v>
      </c>
      <c r="H102" s="69"/>
    </row>
    <row r="103" spans="2:8" x14ac:dyDescent="0.3">
      <c r="B103" s="63" t="s">
        <v>203</v>
      </c>
      <c r="C103" s="69">
        <v>811111.5</v>
      </c>
      <c r="F103" s="63" t="s">
        <v>92</v>
      </c>
      <c r="G103" s="69">
        <v>36000</v>
      </c>
      <c r="H103" s="69"/>
    </row>
    <row r="104" spans="2:8" x14ac:dyDescent="0.3">
      <c r="B104" s="63" t="s">
        <v>209</v>
      </c>
      <c r="C104" s="69">
        <v>810000</v>
      </c>
      <c r="H104" s="69"/>
    </row>
    <row r="105" spans="2:8" x14ac:dyDescent="0.3">
      <c r="B105" s="63" t="s">
        <v>211</v>
      </c>
      <c r="C105" s="69">
        <v>800000</v>
      </c>
      <c r="H105" s="69"/>
    </row>
    <row r="106" spans="2:8" x14ac:dyDescent="0.3">
      <c r="B106" s="63" t="s">
        <v>78</v>
      </c>
      <c r="C106" s="69">
        <v>764733.68449438189</v>
      </c>
    </row>
    <row r="107" spans="2:8" x14ac:dyDescent="0.3">
      <c r="B107" s="63" t="s">
        <v>83</v>
      </c>
      <c r="C107" s="69">
        <v>720000</v>
      </c>
    </row>
    <row r="108" spans="2:8" x14ac:dyDescent="0.3">
      <c r="B108" s="63" t="s">
        <v>72</v>
      </c>
      <c r="C108" s="69">
        <v>680000</v>
      </c>
    </row>
    <row r="109" spans="2:8" x14ac:dyDescent="0.3">
      <c r="B109" s="63" t="s">
        <v>160</v>
      </c>
      <c r="C109" s="69">
        <v>600000</v>
      </c>
    </row>
    <row r="110" spans="2:8" x14ac:dyDescent="0.3">
      <c r="B110" s="63" t="s">
        <v>219</v>
      </c>
      <c r="C110" s="69">
        <v>440000</v>
      </c>
    </row>
    <row r="111" spans="2:8" x14ac:dyDescent="0.3">
      <c r="B111" s="63" t="s">
        <v>92</v>
      </c>
      <c r="C111" s="69">
        <v>36000</v>
      </c>
    </row>
  </sheetData>
  <autoFilter ref="A2:AN111" xr:uid="{24E5D111-E626-E146-BA43-3A9F4949F54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2FA7C-C6F3-A643-9688-F0964A5FAB01}">
  <dimension ref="A1:BQ164"/>
  <sheetViews>
    <sheetView tabSelected="1" topLeftCell="AA1" zoomScale="50" workbookViewId="0">
      <selection activeCell="AH14" sqref="AH14"/>
    </sheetView>
  </sheetViews>
  <sheetFormatPr baseColWidth="10" defaultColWidth="23.83203125" defaultRowHeight="28" x14ac:dyDescent="0.3"/>
  <cols>
    <col min="1" max="1" width="6.1640625" style="63" bestFit="1" customWidth="1"/>
    <col min="2" max="2" width="80.5" style="63" customWidth="1"/>
    <col min="3" max="3" width="37.1640625" style="69" bestFit="1" customWidth="1"/>
    <col min="4" max="4" width="27.33203125" style="63" bestFit="1" customWidth="1"/>
    <col min="5" max="5" width="6.1640625" style="63" bestFit="1" customWidth="1"/>
    <col min="6" max="6" width="80.5" style="63" bestFit="1" customWidth="1"/>
    <col min="7" max="7" width="37.1640625" style="86" bestFit="1" customWidth="1"/>
    <col min="8" max="8" width="23.83203125" style="63"/>
    <col min="9" max="9" width="63.83203125" style="63" bestFit="1" customWidth="1"/>
    <col min="10" max="10" width="37.1640625" style="69" bestFit="1" customWidth="1"/>
    <col min="11" max="11" width="37.1640625" style="69" customWidth="1"/>
    <col min="12" max="12" width="35.5" style="63" bestFit="1" customWidth="1"/>
    <col min="13" max="13" width="64.5" style="63" bestFit="1" customWidth="1"/>
    <col min="14" max="14" width="37.1640625" style="63" bestFit="1" customWidth="1"/>
    <col min="15" max="15" width="46.1640625" style="63" customWidth="1"/>
    <col min="16" max="16" width="69.5" style="63" bestFit="1" customWidth="1"/>
    <col min="17" max="17" width="37.1640625" style="69" bestFit="1" customWidth="1"/>
    <col min="18" max="18" width="34.1640625" style="63" bestFit="1" customWidth="1"/>
    <col min="19" max="19" width="46.1640625" style="63" bestFit="1" customWidth="1"/>
    <col min="20" max="20" width="80.5" style="63" bestFit="1" customWidth="1"/>
    <col min="21" max="21" width="34.1640625" style="63" customWidth="1"/>
    <col min="22" max="22" width="31.83203125" style="63" bestFit="1" customWidth="1"/>
    <col min="23" max="23" width="43.1640625" style="63" bestFit="1" customWidth="1"/>
    <col min="24" max="24" width="80.5" style="63" bestFit="1" customWidth="1"/>
    <col min="25" max="25" width="34.1640625" style="63" bestFit="1" customWidth="1"/>
    <col min="26" max="26" width="34.1640625" style="123" customWidth="1"/>
    <col min="27" max="28" width="34.1640625" style="63" customWidth="1"/>
    <col min="29" max="29" width="31.83203125" style="63" bestFit="1" customWidth="1"/>
    <col min="30" max="30" width="23.83203125" style="63"/>
    <col min="31" max="31" width="40.83203125" style="63" bestFit="1" customWidth="1"/>
    <col min="32" max="32" width="64.5" style="63" bestFit="1" customWidth="1"/>
    <col min="33" max="34" width="34.1640625" style="63" bestFit="1" customWidth="1"/>
    <col min="35" max="35" width="40.83203125" style="63" bestFit="1" customWidth="1"/>
    <col min="36" max="36" width="64.5" style="63" bestFit="1" customWidth="1"/>
    <col min="37" max="37" width="34.1640625" style="63" bestFit="1" customWidth="1"/>
    <col min="38" max="38" width="23.83203125" style="63"/>
    <col min="39" max="39" width="42.83203125" style="63" bestFit="1" customWidth="1"/>
    <col min="40" max="40" width="55.83203125" style="63" bestFit="1" customWidth="1"/>
    <col min="41" max="41" width="31.83203125" style="63" bestFit="1" customWidth="1"/>
    <col min="42" max="42" width="23.83203125" style="63"/>
    <col min="43" max="43" width="35.5" style="63" bestFit="1" customWidth="1"/>
    <col min="44" max="44" width="64.5" style="63" bestFit="1" customWidth="1"/>
    <col min="45" max="45" width="37.1640625" style="63" bestFit="1" customWidth="1"/>
    <col min="46" max="46" width="23.83203125" style="63"/>
    <col min="47" max="47" width="10.1640625" style="63" bestFit="1" customWidth="1"/>
    <col min="48" max="48" width="60.1640625" style="63" bestFit="1" customWidth="1"/>
    <col min="49" max="49" width="34.1640625" style="63" bestFit="1" customWidth="1"/>
    <col min="50" max="50" width="31.83203125" style="63" bestFit="1" customWidth="1"/>
    <col min="51" max="51" width="42.83203125" style="63" bestFit="1" customWidth="1"/>
    <col min="52" max="52" width="49.5" style="63" bestFit="1" customWidth="1"/>
    <col min="53" max="53" width="34.1640625" style="63" bestFit="1" customWidth="1"/>
    <col min="54" max="54" width="23.83203125" style="63"/>
    <col min="55" max="55" width="16.5" style="63" bestFit="1" customWidth="1"/>
    <col min="56" max="56" width="78.5" style="63" bestFit="1" customWidth="1"/>
    <col min="57" max="57" width="34.1640625" style="63" bestFit="1" customWidth="1"/>
    <col min="58" max="58" width="23.83203125" style="63"/>
    <col min="59" max="59" width="44.1640625" style="63" bestFit="1" customWidth="1"/>
    <col min="60" max="60" width="50.5" style="63" bestFit="1" customWidth="1"/>
    <col min="61" max="61" width="34.1640625" style="63" bestFit="1" customWidth="1"/>
    <col min="62" max="62" width="23.83203125" style="63"/>
    <col min="63" max="63" width="23.1640625" style="63" bestFit="1" customWidth="1"/>
    <col min="64" max="64" width="64.5" style="63" bestFit="1" customWidth="1"/>
    <col min="65" max="65" width="34.1640625" style="63" bestFit="1" customWidth="1"/>
    <col min="66" max="66" width="23.83203125" style="63"/>
    <col min="67" max="67" width="36.5" style="63" bestFit="1" customWidth="1"/>
    <col min="68" max="68" width="45.5" style="63" bestFit="1" customWidth="1"/>
    <col min="69" max="69" width="31.83203125" style="63" bestFit="1" customWidth="1"/>
    <col min="70" max="16384" width="23.83203125" style="63"/>
  </cols>
  <sheetData>
    <row r="1" spans="1:69" ht="29" thickBot="1" x14ac:dyDescent="0.35"/>
    <row r="2" spans="1:69" ht="29" thickBot="1" x14ac:dyDescent="0.35">
      <c r="B2" s="64" t="s">
        <v>154</v>
      </c>
      <c r="C2" s="65"/>
      <c r="E2" s="66"/>
      <c r="F2" s="64" t="s">
        <v>155</v>
      </c>
      <c r="G2" s="84"/>
      <c r="I2" s="67" t="s">
        <v>156</v>
      </c>
      <c r="J2" s="68"/>
      <c r="K2" s="124"/>
      <c r="O2" s="123"/>
    </row>
    <row r="3" spans="1:69" s="71" customFormat="1" ht="29" thickBot="1" x14ac:dyDescent="0.35">
      <c r="B3" s="119" t="s">
        <v>130</v>
      </c>
      <c r="C3" s="120" t="s">
        <v>113</v>
      </c>
      <c r="D3" s="63"/>
      <c r="E3" s="73"/>
      <c r="F3" s="72" t="s">
        <v>130</v>
      </c>
      <c r="G3" s="85" t="s">
        <v>113</v>
      </c>
      <c r="I3" s="74" t="s">
        <v>96</v>
      </c>
      <c r="J3" s="75" t="s">
        <v>113</v>
      </c>
      <c r="K3" s="128"/>
      <c r="O3" s="129"/>
      <c r="P3" s="107"/>
      <c r="Q3" s="81"/>
      <c r="Z3" s="129"/>
    </row>
    <row r="4" spans="1:69" ht="29" thickBot="1" x14ac:dyDescent="0.35">
      <c r="A4" s="121" t="s">
        <v>3</v>
      </c>
      <c r="B4" s="122" t="s">
        <v>4</v>
      </c>
      <c r="C4" s="118"/>
      <c r="E4" s="91" t="s">
        <v>3</v>
      </c>
      <c r="F4" s="116" t="s">
        <v>4</v>
      </c>
      <c r="G4" s="112"/>
      <c r="I4" s="76" t="s">
        <v>4</v>
      </c>
      <c r="J4" s="68">
        <v>5224906336.5711403</v>
      </c>
      <c r="K4" s="124"/>
      <c r="L4" s="94" t="s">
        <v>151</v>
      </c>
      <c r="M4" s="127"/>
      <c r="N4" s="95">
        <v>1460742481.7</v>
      </c>
      <c r="O4" s="128"/>
      <c r="P4" s="94" t="s">
        <v>131</v>
      </c>
      <c r="Q4" s="95" t="s">
        <v>113</v>
      </c>
      <c r="S4" s="94" t="s">
        <v>133</v>
      </c>
      <c r="T4" s="70"/>
      <c r="U4" s="68">
        <v>661901414.80000007</v>
      </c>
    </row>
    <row r="5" spans="1:69" ht="29" thickBot="1" x14ac:dyDescent="0.35">
      <c r="A5" s="78"/>
      <c r="B5" s="63" t="s">
        <v>130</v>
      </c>
      <c r="C5" s="77" t="s">
        <v>113</v>
      </c>
      <c r="E5" s="117"/>
      <c r="F5" s="107" t="s">
        <v>130</v>
      </c>
      <c r="G5" s="75" t="s">
        <v>113</v>
      </c>
      <c r="I5" s="78" t="s">
        <v>100</v>
      </c>
      <c r="J5" s="77">
        <v>1278104877.8</v>
      </c>
      <c r="K5" s="124"/>
      <c r="L5" s="78"/>
      <c r="M5" s="123" t="s">
        <v>18</v>
      </c>
      <c r="N5" s="77">
        <v>206640000</v>
      </c>
      <c r="O5" s="124"/>
      <c r="P5" s="113" t="s">
        <v>231</v>
      </c>
      <c r="Q5" s="115">
        <v>543303997.80000007</v>
      </c>
      <c r="S5" s="78"/>
      <c r="T5" s="123" t="s">
        <v>164</v>
      </c>
      <c r="U5" s="77">
        <v>94235173.200000003</v>
      </c>
      <c r="AM5" s="94" t="s">
        <v>142</v>
      </c>
      <c r="AN5" s="127"/>
      <c r="AO5" s="95">
        <v>48081319.939999998</v>
      </c>
      <c r="AU5" s="94" t="s">
        <v>136</v>
      </c>
      <c r="AV5" s="127"/>
      <c r="AW5" s="95">
        <v>106000000</v>
      </c>
      <c r="AY5" s="94" t="s">
        <v>137</v>
      </c>
      <c r="AZ5" s="127"/>
      <c r="BA5" s="95">
        <v>418321183.58399999</v>
      </c>
      <c r="BC5" s="94" t="s">
        <v>143</v>
      </c>
      <c r="BD5" s="127"/>
      <c r="BE5" s="95">
        <f>SUM(BE7:BE53)</f>
        <v>608125392.52999997</v>
      </c>
      <c r="BG5" s="94" t="s">
        <v>139</v>
      </c>
      <c r="BH5" s="127"/>
      <c r="BI5" s="95">
        <v>138596708</v>
      </c>
      <c r="BK5" s="76" t="s">
        <v>157</v>
      </c>
      <c r="BL5" s="70"/>
      <c r="BM5" s="68">
        <v>302824435.472</v>
      </c>
      <c r="BO5" s="76" t="s">
        <v>206</v>
      </c>
      <c r="BP5" s="70"/>
      <c r="BQ5" s="68">
        <v>16899808.5</v>
      </c>
    </row>
    <row r="6" spans="1:69" ht="29" thickBot="1" x14ac:dyDescent="0.35">
      <c r="A6" s="82"/>
      <c r="B6" s="83" t="s">
        <v>4</v>
      </c>
      <c r="C6" s="80">
        <v>5224906336.5711393</v>
      </c>
      <c r="E6" s="102"/>
      <c r="F6" s="114" t="s">
        <v>4</v>
      </c>
      <c r="G6" s="115">
        <v>3764163854.87114</v>
      </c>
      <c r="I6" s="78" t="s">
        <v>97</v>
      </c>
      <c r="J6" s="77">
        <v>970256033.70714033</v>
      </c>
      <c r="K6" s="124"/>
      <c r="L6" s="78"/>
      <c r="M6" s="123" t="s">
        <v>8</v>
      </c>
      <c r="N6" s="77">
        <v>201600000</v>
      </c>
      <c r="O6" s="124"/>
      <c r="P6" s="76" t="s">
        <v>6</v>
      </c>
      <c r="Q6" s="68">
        <v>95220000</v>
      </c>
      <c r="S6" s="78"/>
      <c r="T6" s="123" t="s">
        <v>6</v>
      </c>
      <c r="U6" s="77">
        <v>70470000</v>
      </c>
      <c r="W6" s="94" t="s">
        <v>132</v>
      </c>
      <c r="X6" s="70"/>
      <c r="Y6" s="68">
        <v>145125944.34</v>
      </c>
      <c r="Z6" s="124"/>
      <c r="AA6" s="94" t="s">
        <v>142</v>
      </c>
      <c r="AB6" s="127"/>
      <c r="AC6" s="95">
        <v>48081319.939999998</v>
      </c>
      <c r="AD6" s="128"/>
      <c r="AE6" s="94" t="s">
        <v>172</v>
      </c>
      <c r="AF6" s="127"/>
      <c r="AG6" s="95">
        <v>431595290.80000001</v>
      </c>
      <c r="AI6" s="94" t="s">
        <v>134</v>
      </c>
      <c r="AJ6" s="127"/>
      <c r="AK6" s="95">
        <v>295893000</v>
      </c>
      <c r="AM6" s="78"/>
      <c r="AO6" s="77">
        <v>47978947.100000001</v>
      </c>
      <c r="AU6" s="78"/>
      <c r="AV6" s="123"/>
      <c r="AW6" s="77"/>
      <c r="AY6" s="78"/>
      <c r="AZ6" s="123" t="s">
        <v>6</v>
      </c>
      <c r="BA6" s="77">
        <v>51480000</v>
      </c>
      <c r="BC6" s="78"/>
      <c r="BE6" s="77"/>
      <c r="BG6" s="78"/>
      <c r="BH6" s="63" t="s">
        <v>17</v>
      </c>
      <c r="BI6" s="77">
        <v>40320000</v>
      </c>
      <c r="BK6" s="78"/>
      <c r="BL6" s="63" t="s">
        <v>12</v>
      </c>
      <c r="BM6" s="77">
        <v>61736106.231000006</v>
      </c>
      <c r="BO6" s="78"/>
      <c r="BP6" s="63" t="s">
        <v>153</v>
      </c>
      <c r="BQ6" s="77">
        <v>3052000</v>
      </c>
    </row>
    <row r="7" spans="1:69" x14ac:dyDescent="0.3">
      <c r="A7" s="110">
        <v>1</v>
      </c>
      <c r="B7" s="63" t="s">
        <v>18</v>
      </c>
      <c r="C7" s="77">
        <v>462323554</v>
      </c>
      <c r="D7" s="69"/>
      <c r="E7" s="109">
        <v>1</v>
      </c>
      <c r="F7" s="70" t="s">
        <v>164</v>
      </c>
      <c r="G7" s="68">
        <v>441018187.39999998</v>
      </c>
      <c r="I7" s="78" t="s">
        <v>99</v>
      </c>
      <c r="J7" s="77">
        <v>654380618.68400002</v>
      </c>
      <c r="K7" s="124"/>
      <c r="L7" s="78"/>
      <c r="M7" s="123" t="s">
        <v>28</v>
      </c>
      <c r="N7" s="77">
        <v>124363631.69999999</v>
      </c>
      <c r="O7" s="124"/>
      <c r="P7" s="78" t="s">
        <v>164</v>
      </c>
      <c r="Q7" s="77">
        <v>124667310.59999999</v>
      </c>
      <c r="R7" s="69"/>
      <c r="S7" s="78"/>
      <c r="T7" s="123" t="s">
        <v>10</v>
      </c>
      <c r="U7" s="77">
        <v>61517690.800000004</v>
      </c>
      <c r="W7" s="78"/>
      <c r="X7" s="123" t="s">
        <v>153</v>
      </c>
      <c r="Y7" s="77">
        <v>35558000</v>
      </c>
      <c r="Z7" s="124"/>
      <c r="AA7" s="78"/>
      <c r="AB7" s="123"/>
      <c r="AC7" s="77">
        <v>47978947.100000001</v>
      </c>
      <c r="AD7" s="124"/>
      <c r="AE7" s="78"/>
      <c r="AF7" s="63" t="s">
        <v>175</v>
      </c>
      <c r="AG7" s="77">
        <v>37400000</v>
      </c>
      <c r="AH7" s="69"/>
      <c r="AI7" s="78"/>
      <c r="AJ7" s="123" t="s">
        <v>5</v>
      </c>
      <c r="AK7" s="77">
        <v>145748379.60000002</v>
      </c>
      <c r="AM7" s="78"/>
      <c r="AN7" s="63" t="s">
        <v>153</v>
      </c>
      <c r="AO7" s="77">
        <v>22386000</v>
      </c>
      <c r="AU7" s="78"/>
      <c r="AV7" s="123" t="s">
        <v>213</v>
      </c>
      <c r="AW7" s="77">
        <v>29537920</v>
      </c>
      <c r="AY7" s="78"/>
      <c r="AZ7" s="123" t="s">
        <v>24</v>
      </c>
      <c r="BA7" s="77">
        <v>48599999.783999994</v>
      </c>
      <c r="BC7" s="78"/>
      <c r="BD7" s="63" t="s">
        <v>7</v>
      </c>
      <c r="BE7" s="77">
        <v>186093000</v>
      </c>
      <c r="BG7" s="78"/>
      <c r="BH7" s="63" t="s">
        <v>42</v>
      </c>
      <c r="BI7" s="77">
        <v>22800000</v>
      </c>
      <c r="BK7" s="78"/>
      <c r="BL7" s="63" t="s">
        <v>6</v>
      </c>
      <c r="BM7" s="77">
        <v>39150000</v>
      </c>
      <c r="BO7" s="78"/>
      <c r="BP7" s="63" t="s">
        <v>175</v>
      </c>
      <c r="BQ7" s="77">
        <v>2500000</v>
      </c>
    </row>
    <row r="8" spans="1:69" x14ac:dyDescent="0.3">
      <c r="A8" s="110">
        <v>2</v>
      </c>
      <c r="B8" s="63" t="s">
        <v>164</v>
      </c>
      <c r="C8" s="77">
        <v>441018187.39999998</v>
      </c>
      <c r="E8" s="110">
        <v>2</v>
      </c>
      <c r="F8" s="63" t="s">
        <v>6</v>
      </c>
      <c r="G8" s="77">
        <v>256320000</v>
      </c>
      <c r="I8" s="78" t="s">
        <v>98</v>
      </c>
      <c r="J8" s="77">
        <v>644547623</v>
      </c>
      <c r="K8" s="124"/>
      <c r="L8" s="78"/>
      <c r="M8" s="123" t="s">
        <v>14</v>
      </c>
      <c r="N8" s="77">
        <v>120000000</v>
      </c>
      <c r="O8" s="124"/>
      <c r="P8" s="78" t="s">
        <v>12</v>
      </c>
      <c r="Q8" s="77">
        <v>46763245.800000004</v>
      </c>
      <c r="S8" s="78"/>
      <c r="T8" s="123" t="s">
        <v>5</v>
      </c>
      <c r="U8" s="77">
        <v>45995739.300000004</v>
      </c>
      <c r="W8" s="78"/>
      <c r="X8" s="123" t="s">
        <v>17</v>
      </c>
      <c r="Y8" s="77">
        <v>18078359.039999999</v>
      </c>
      <c r="Z8" s="124"/>
      <c r="AA8" s="78"/>
      <c r="AB8" s="123" t="s">
        <v>153</v>
      </c>
      <c r="AC8" s="77">
        <v>22386000</v>
      </c>
      <c r="AD8" s="124"/>
      <c r="AE8" s="78"/>
      <c r="AF8" s="63" t="s">
        <v>18</v>
      </c>
      <c r="AG8" s="77">
        <v>30308593.5</v>
      </c>
      <c r="AI8" s="78"/>
      <c r="AJ8" s="123" t="s">
        <v>37</v>
      </c>
      <c r="AK8" s="77">
        <v>16879671</v>
      </c>
      <c r="AM8" s="78"/>
      <c r="AN8" s="63" t="s">
        <v>153</v>
      </c>
      <c r="AO8" s="77">
        <v>20720000</v>
      </c>
      <c r="AU8" s="78"/>
      <c r="AV8" s="123" t="s">
        <v>36</v>
      </c>
      <c r="AW8" s="77">
        <v>20000000</v>
      </c>
      <c r="AY8" s="78"/>
      <c r="AZ8" s="123" t="s">
        <v>13</v>
      </c>
      <c r="BA8" s="77">
        <v>47520000</v>
      </c>
      <c r="BC8" s="78"/>
      <c r="BD8" s="63" t="s">
        <v>14</v>
      </c>
      <c r="BE8" s="77">
        <v>72757984.319999993</v>
      </c>
      <c r="BG8" s="78"/>
      <c r="BH8" s="63" t="s">
        <v>14</v>
      </c>
      <c r="BI8" s="77">
        <v>20900000</v>
      </c>
      <c r="BK8" s="78"/>
      <c r="BL8" s="63" t="s">
        <v>18</v>
      </c>
      <c r="BM8" s="77">
        <v>38141354.699999996</v>
      </c>
      <c r="BO8" s="78"/>
      <c r="BP8" s="63" t="s">
        <v>53</v>
      </c>
      <c r="BQ8" s="77">
        <v>2000000</v>
      </c>
    </row>
    <row r="9" spans="1:69" x14ac:dyDescent="0.3">
      <c r="A9" s="110">
        <v>3</v>
      </c>
      <c r="B9" s="63" t="s">
        <v>8</v>
      </c>
      <c r="C9" s="77">
        <v>304817824.16750002</v>
      </c>
      <c r="E9" s="110">
        <v>3</v>
      </c>
      <c r="F9" s="63" t="s">
        <v>7</v>
      </c>
      <c r="G9" s="77">
        <v>250263000</v>
      </c>
      <c r="I9" s="78" t="s">
        <v>101</v>
      </c>
      <c r="J9" s="77">
        <v>392661957.59999996</v>
      </c>
      <c r="K9" s="124"/>
      <c r="L9" s="78"/>
      <c r="M9" s="123" t="s">
        <v>187</v>
      </c>
      <c r="N9" s="77">
        <v>103320000</v>
      </c>
      <c r="O9" s="124"/>
      <c r="P9" s="78" t="s">
        <v>10</v>
      </c>
      <c r="Q9" s="77">
        <v>31108602</v>
      </c>
      <c r="S9" s="78"/>
      <c r="T9" s="123" t="s">
        <v>19</v>
      </c>
      <c r="U9" s="77">
        <v>45476640</v>
      </c>
      <c r="W9" s="78"/>
      <c r="X9" s="123" t="s">
        <v>19</v>
      </c>
      <c r="Y9" s="77">
        <v>16466058</v>
      </c>
      <c r="Z9" s="124"/>
      <c r="AA9" s="78"/>
      <c r="AB9" s="123" t="s">
        <v>153</v>
      </c>
      <c r="AC9" s="77">
        <v>20720000</v>
      </c>
      <c r="AD9" s="124"/>
      <c r="AE9" s="78"/>
      <c r="AF9" s="63" t="s">
        <v>186</v>
      </c>
      <c r="AG9" s="77">
        <v>29520000</v>
      </c>
      <c r="AI9" s="78"/>
      <c r="AJ9" s="123" t="s">
        <v>21</v>
      </c>
      <c r="AK9" s="77">
        <v>16698919.5</v>
      </c>
      <c r="AM9" s="78"/>
      <c r="AN9" s="63" t="s">
        <v>26</v>
      </c>
      <c r="AO9" s="77">
        <v>8146600</v>
      </c>
      <c r="AU9" s="78"/>
      <c r="AV9" s="123" t="s">
        <v>23</v>
      </c>
      <c r="AW9" s="77">
        <v>12963633.949999999</v>
      </c>
      <c r="AY9" s="78"/>
      <c r="AZ9" s="123" t="s">
        <v>27</v>
      </c>
      <c r="BA9" s="77">
        <v>30000000</v>
      </c>
      <c r="BC9" s="78"/>
      <c r="BD9" s="63" t="s">
        <v>7</v>
      </c>
      <c r="BE9" s="77">
        <v>64170000</v>
      </c>
      <c r="BG9" s="78"/>
      <c r="BH9" s="63" t="s">
        <v>41</v>
      </c>
      <c r="BI9" s="77">
        <v>17010000</v>
      </c>
      <c r="BK9" s="78"/>
      <c r="BL9" s="63" t="s">
        <v>10</v>
      </c>
      <c r="BM9" s="77">
        <v>32058000</v>
      </c>
      <c r="BO9" s="78"/>
      <c r="BP9" s="63" t="s">
        <v>111</v>
      </c>
      <c r="BQ9" s="77">
        <v>1745700</v>
      </c>
    </row>
    <row r="10" spans="1:69" x14ac:dyDescent="0.3">
      <c r="A10" s="110">
        <v>4</v>
      </c>
      <c r="B10" s="63" t="s">
        <v>14</v>
      </c>
      <c r="C10" s="77">
        <v>269149521.27999997</v>
      </c>
      <c r="D10" s="69"/>
      <c r="E10" s="110">
        <v>4</v>
      </c>
      <c r="F10" s="63" t="s">
        <v>14</v>
      </c>
      <c r="G10" s="77">
        <v>149149521.27999997</v>
      </c>
      <c r="I10" s="78" t="s">
        <v>102</v>
      </c>
      <c r="J10" s="77">
        <v>334668785.27999997</v>
      </c>
      <c r="K10" s="124"/>
      <c r="L10" s="78"/>
      <c r="M10" s="123" t="s">
        <v>178</v>
      </c>
      <c r="N10" s="77">
        <v>97977600</v>
      </c>
      <c r="O10" s="124"/>
      <c r="P10" s="78" t="s">
        <v>39</v>
      </c>
      <c r="Q10" s="77">
        <v>22680000</v>
      </c>
      <c r="S10" s="78"/>
      <c r="T10" s="123" t="s">
        <v>21</v>
      </c>
      <c r="U10" s="77">
        <v>34473276</v>
      </c>
      <c r="V10" s="69"/>
      <c r="W10" s="78"/>
      <c r="X10" s="123" t="s">
        <v>48</v>
      </c>
      <c r="Y10" s="77">
        <v>12040000</v>
      </c>
      <c r="Z10" s="124"/>
      <c r="AA10" s="78"/>
      <c r="AB10" s="123" t="s">
        <v>26</v>
      </c>
      <c r="AC10" s="77">
        <v>8146600</v>
      </c>
      <c r="AD10" s="124"/>
      <c r="AE10" s="78"/>
      <c r="AF10" s="63" t="s">
        <v>173</v>
      </c>
      <c r="AG10" s="77">
        <v>29030400</v>
      </c>
      <c r="AI10" s="78"/>
      <c r="AJ10" s="123" t="s">
        <v>15</v>
      </c>
      <c r="AK10" s="77">
        <v>16235000</v>
      </c>
      <c r="AM10" s="78"/>
      <c r="AN10" s="63" t="s">
        <v>26</v>
      </c>
      <c r="AO10" s="77">
        <v>4655200</v>
      </c>
      <c r="AU10" s="78"/>
      <c r="AV10" s="123" t="s">
        <v>17</v>
      </c>
      <c r="AW10" s="77">
        <v>18784394.25</v>
      </c>
      <c r="AX10" s="69"/>
      <c r="AY10" s="78"/>
      <c r="AZ10" s="123" t="s">
        <v>26</v>
      </c>
      <c r="BA10" s="77">
        <v>29350000</v>
      </c>
      <c r="BC10" s="78"/>
      <c r="BD10" s="63" t="s">
        <v>14</v>
      </c>
      <c r="BE10" s="77">
        <v>55491536.959999993</v>
      </c>
      <c r="BG10" s="78"/>
      <c r="BH10" s="63" t="s">
        <v>80</v>
      </c>
      <c r="BI10" s="77">
        <v>8144388</v>
      </c>
      <c r="BK10" s="78"/>
      <c r="BL10" s="63" t="s">
        <v>19</v>
      </c>
      <c r="BM10" s="77">
        <v>29243418.740999997</v>
      </c>
      <c r="BO10" s="78"/>
      <c r="BP10" s="63" t="s">
        <v>158</v>
      </c>
      <c r="BQ10" s="77">
        <v>1500000</v>
      </c>
    </row>
    <row r="11" spans="1:69" x14ac:dyDescent="0.3">
      <c r="A11" s="110">
        <v>5</v>
      </c>
      <c r="B11" s="63" t="s">
        <v>6</v>
      </c>
      <c r="C11" s="77">
        <v>256320000</v>
      </c>
      <c r="E11" s="110">
        <v>5</v>
      </c>
      <c r="F11" s="63" t="s">
        <v>12</v>
      </c>
      <c r="G11" s="77">
        <v>143449580.33099997</v>
      </c>
      <c r="I11" s="78" t="s">
        <v>105</v>
      </c>
      <c r="J11" s="77">
        <v>205666964.09999999</v>
      </c>
      <c r="K11" s="124"/>
      <c r="L11" s="78"/>
      <c r="M11" s="123" t="s">
        <v>10</v>
      </c>
      <c r="N11" s="77">
        <v>77760000</v>
      </c>
      <c r="O11" s="124"/>
      <c r="P11" s="78" t="s">
        <v>21</v>
      </c>
      <c r="Q11" s="77">
        <v>22198684.5</v>
      </c>
      <c r="S11" s="78"/>
      <c r="T11" s="123" t="s">
        <v>22</v>
      </c>
      <c r="U11" s="77">
        <v>27675000</v>
      </c>
      <c r="W11" s="78"/>
      <c r="X11" s="123" t="s">
        <v>5</v>
      </c>
      <c r="Y11" s="77">
        <v>20213092.800000004</v>
      </c>
      <c r="Z11" s="124"/>
      <c r="AA11" s="78"/>
      <c r="AB11" s="123" t="s">
        <v>26</v>
      </c>
      <c r="AC11" s="77">
        <v>4655200</v>
      </c>
      <c r="AD11" s="124"/>
      <c r="AE11" s="78"/>
      <c r="AF11" s="63" t="s">
        <v>8</v>
      </c>
      <c r="AG11" s="77">
        <v>26775000</v>
      </c>
      <c r="AI11" s="78"/>
      <c r="AJ11" s="123" t="s">
        <v>29</v>
      </c>
      <c r="AK11" s="77">
        <v>16130075.400000002</v>
      </c>
      <c r="AM11" s="78"/>
      <c r="AN11" s="63" t="s">
        <v>54</v>
      </c>
      <c r="AO11" s="77">
        <v>3600000</v>
      </c>
      <c r="AU11" s="78"/>
      <c r="AV11" s="123" t="s">
        <v>37</v>
      </c>
      <c r="AW11" s="77">
        <v>9417996.8800000008</v>
      </c>
      <c r="AY11" s="78"/>
      <c r="AZ11" s="123" t="s">
        <v>8</v>
      </c>
      <c r="BA11" s="77">
        <v>26932500</v>
      </c>
      <c r="BC11" s="78"/>
      <c r="BD11" s="63" t="s">
        <v>23</v>
      </c>
      <c r="BE11" s="77">
        <v>23760931.25</v>
      </c>
      <c r="BG11" s="78"/>
      <c r="BH11" s="63" t="s">
        <v>153</v>
      </c>
      <c r="BI11" s="77">
        <v>8086320</v>
      </c>
      <c r="BK11" s="78"/>
      <c r="BL11" s="63" t="s">
        <v>8</v>
      </c>
      <c r="BM11" s="77">
        <v>19890000</v>
      </c>
      <c r="BO11" s="78"/>
      <c r="BP11" s="63" t="s">
        <v>13</v>
      </c>
      <c r="BQ11" s="77">
        <v>1497992</v>
      </c>
    </row>
    <row r="12" spans="1:69" x14ac:dyDescent="0.3">
      <c r="A12" s="110">
        <v>6</v>
      </c>
      <c r="B12" s="63" t="s">
        <v>7</v>
      </c>
      <c r="C12" s="77">
        <v>250263000</v>
      </c>
      <c r="E12" s="110">
        <v>6</v>
      </c>
      <c r="F12" s="63" t="s">
        <v>18</v>
      </c>
      <c r="G12" s="77">
        <v>133766602.19999999</v>
      </c>
      <c r="I12" s="78" t="s">
        <v>103</v>
      </c>
      <c r="J12" s="77">
        <v>153284600</v>
      </c>
      <c r="K12" s="124"/>
      <c r="L12" s="78"/>
      <c r="M12" s="123" t="s">
        <v>196</v>
      </c>
      <c r="N12" s="77">
        <v>65610000</v>
      </c>
      <c r="O12" s="124"/>
      <c r="P12" s="78" t="s">
        <v>18</v>
      </c>
      <c r="Q12" s="77">
        <v>18772182</v>
      </c>
      <c r="S12" s="78"/>
      <c r="T12" s="123" t="s">
        <v>12</v>
      </c>
      <c r="U12" s="77">
        <v>26658720</v>
      </c>
      <c r="W12" s="78"/>
      <c r="X12" s="123" t="s">
        <v>8</v>
      </c>
      <c r="Y12" s="77">
        <v>10465000</v>
      </c>
      <c r="Z12" s="124"/>
      <c r="AA12" s="78"/>
      <c r="AB12" s="123" t="s">
        <v>54</v>
      </c>
      <c r="AC12" s="77">
        <v>3600000</v>
      </c>
      <c r="AD12" s="124"/>
      <c r="AE12" s="78"/>
      <c r="AF12" s="63" t="s">
        <v>22</v>
      </c>
      <c r="AG12" s="77">
        <v>26640000</v>
      </c>
      <c r="AI12" s="78"/>
      <c r="AJ12" s="123" t="s">
        <v>163</v>
      </c>
      <c r="AK12" s="77">
        <v>13143775.5</v>
      </c>
      <c r="AM12" s="78"/>
      <c r="AN12" s="63" t="s">
        <v>13</v>
      </c>
      <c r="AO12" s="77">
        <v>3182783.94</v>
      </c>
      <c r="AU12" s="78"/>
      <c r="AV12" s="123" t="s">
        <v>121</v>
      </c>
      <c r="AW12" s="77">
        <v>3151417.5</v>
      </c>
      <c r="AY12" s="78"/>
      <c r="AZ12" s="123" t="s">
        <v>18</v>
      </c>
      <c r="BA12" s="77">
        <v>21663000</v>
      </c>
      <c r="BC12" s="78"/>
      <c r="BD12" s="63" t="s">
        <v>221</v>
      </c>
      <c r="BE12" s="77">
        <v>22407000</v>
      </c>
      <c r="BG12" s="78"/>
      <c r="BH12" s="63" t="s">
        <v>67</v>
      </c>
      <c r="BI12" s="77">
        <v>7236000</v>
      </c>
      <c r="BK12" s="78"/>
      <c r="BL12" s="63" t="s">
        <v>119</v>
      </c>
      <c r="BM12" s="77">
        <v>18144000</v>
      </c>
      <c r="BO12" s="78"/>
      <c r="BP12" s="63" t="s">
        <v>207</v>
      </c>
      <c r="BQ12" s="77">
        <v>1350000</v>
      </c>
    </row>
    <row r="13" spans="1:69" x14ac:dyDescent="0.3">
      <c r="A13" s="110">
        <v>7</v>
      </c>
      <c r="B13" s="63" t="s">
        <v>10</v>
      </c>
      <c r="C13" s="77">
        <v>202444292.80000001</v>
      </c>
      <c r="E13" s="110">
        <v>7</v>
      </c>
      <c r="F13" s="63" t="s">
        <v>10</v>
      </c>
      <c r="G13" s="77">
        <v>124684292.8</v>
      </c>
      <c r="I13" s="78" t="s">
        <v>150</v>
      </c>
      <c r="J13" s="77">
        <v>98644565.200000003</v>
      </c>
      <c r="K13" s="124"/>
      <c r="L13" s="78"/>
      <c r="M13" s="123" t="s">
        <v>152</v>
      </c>
      <c r="N13" s="77">
        <v>61400000</v>
      </c>
      <c r="O13" s="124"/>
      <c r="P13" s="78" t="s">
        <v>17</v>
      </c>
      <c r="Q13" s="77">
        <v>17297280</v>
      </c>
      <c r="S13" s="78"/>
      <c r="T13" s="123" t="s">
        <v>18</v>
      </c>
      <c r="U13" s="77">
        <v>24881472</v>
      </c>
      <c r="W13" s="78"/>
      <c r="X13" s="123" t="s">
        <v>12</v>
      </c>
      <c r="Y13" s="77">
        <v>6671508.2999999998</v>
      </c>
      <c r="Z13" s="124"/>
      <c r="AA13" s="78"/>
      <c r="AB13" s="123" t="s">
        <v>13</v>
      </c>
      <c r="AC13" s="77">
        <v>3182783.94</v>
      </c>
      <c r="AD13" s="124"/>
      <c r="AE13" s="78"/>
      <c r="AF13" s="63" t="s">
        <v>177</v>
      </c>
      <c r="AG13" s="77">
        <v>24000000</v>
      </c>
      <c r="AI13" s="78"/>
      <c r="AJ13" s="123" t="s">
        <v>17</v>
      </c>
      <c r="AK13" s="77">
        <v>10483200</v>
      </c>
      <c r="AM13" s="78"/>
      <c r="AN13" s="63" t="s">
        <v>120</v>
      </c>
      <c r="AO13" s="77">
        <v>3150000</v>
      </c>
      <c r="AU13" s="78"/>
      <c r="AV13" s="123" t="s">
        <v>68</v>
      </c>
      <c r="AW13" s="77">
        <v>2408000</v>
      </c>
      <c r="AY13" s="78"/>
      <c r="AZ13" s="123" t="s">
        <v>22</v>
      </c>
      <c r="BA13" s="77">
        <v>20340000</v>
      </c>
      <c r="BC13" s="78"/>
      <c r="BD13" s="63" t="s">
        <v>175</v>
      </c>
      <c r="BE13" s="77">
        <v>16100000</v>
      </c>
      <c r="BG13" s="78"/>
      <c r="BH13" s="63" t="s">
        <v>116</v>
      </c>
      <c r="BI13" s="77">
        <v>7200000</v>
      </c>
      <c r="BK13" s="78"/>
      <c r="BL13" s="63" t="s">
        <v>13</v>
      </c>
      <c r="BM13" s="77">
        <v>17550000</v>
      </c>
      <c r="BO13" s="78"/>
      <c r="BP13" s="63" t="s">
        <v>191</v>
      </c>
      <c r="BQ13" s="77">
        <v>1333334</v>
      </c>
    </row>
    <row r="14" spans="1:69" x14ac:dyDescent="0.3">
      <c r="A14" s="110">
        <v>8</v>
      </c>
      <c r="B14" s="63" t="s">
        <v>12</v>
      </c>
      <c r="C14" s="77">
        <v>143449580.33099997</v>
      </c>
      <c r="E14" s="110">
        <v>8</v>
      </c>
      <c r="F14" s="63" t="s">
        <v>17</v>
      </c>
      <c r="G14" s="77">
        <v>123206686.77000003</v>
      </c>
      <c r="I14" s="78" t="s">
        <v>174</v>
      </c>
      <c r="J14" s="77">
        <v>56000000</v>
      </c>
      <c r="K14" s="124"/>
      <c r="L14" s="78"/>
      <c r="M14" s="123" t="s">
        <v>37</v>
      </c>
      <c r="N14" s="77">
        <v>56160000</v>
      </c>
      <c r="O14" s="124"/>
      <c r="P14" s="78" t="s">
        <v>38</v>
      </c>
      <c r="Q14" s="77">
        <v>16560000</v>
      </c>
      <c r="S14" s="78"/>
      <c r="T14" s="123" t="s">
        <v>15</v>
      </c>
      <c r="U14" s="77">
        <v>16470000</v>
      </c>
      <c r="W14" s="78"/>
      <c r="X14" s="123" t="s">
        <v>49</v>
      </c>
      <c r="Y14" s="77">
        <v>5600000</v>
      </c>
      <c r="Z14" s="124"/>
      <c r="AA14" s="78"/>
      <c r="AB14" s="123" t="s">
        <v>120</v>
      </c>
      <c r="AC14" s="77">
        <v>3150000</v>
      </c>
      <c r="AD14" s="124"/>
      <c r="AE14" s="78"/>
      <c r="AF14" s="63" t="s">
        <v>13</v>
      </c>
      <c r="AG14" s="77">
        <v>21840000</v>
      </c>
      <c r="AI14" s="78"/>
      <c r="AJ14" s="123" t="s">
        <v>8</v>
      </c>
      <c r="AK14" s="77">
        <v>9052821.4210000001</v>
      </c>
      <c r="AM14" s="78"/>
      <c r="AN14" s="63" t="s">
        <v>8</v>
      </c>
      <c r="AO14" s="77">
        <v>2875000</v>
      </c>
      <c r="AU14" s="78"/>
      <c r="AV14" s="123" t="s">
        <v>214</v>
      </c>
      <c r="AW14" s="77">
        <v>1695684.44</v>
      </c>
      <c r="AY14" s="78"/>
      <c r="AZ14" s="123" t="s">
        <v>165</v>
      </c>
      <c r="BA14" s="77">
        <v>16500000</v>
      </c>
      <c r="BC14" s="78"/>
      <c r="BD14" s="63" t="s">
        <v>25</v>
      </c>
      <c r="BE14" s="77">
        <v>15912000</v>
      </c>
      <c r="BG14" s="78"/>
      <c r="BH14" s="63" t="s">
        <v>63</v>
      </c>
      <c r="BI14" s="77">
        <v>2700000</v>
      </c>
      <c r="BK14" s="78"/>
      <c r="BL14" s="63" t="s">
        <v>5</v>
      </c>
      <c r="BM14" s="77">
        <v>16095893.399999999</v>
      </c>
      <c r="BO14" s="78"/>
      <c r="BP14" s="63" t="s">
        <v>208</v>
      </c>
      <c r="BQ14" s="77">
        <v>1150000</v>
      </c>
    </row>
    <row r="15" spans="1:69" ht="29" thickBot="1" x14ac:dyDescent="0.35">
      <c r="A15" s="110">
        <v>12</v>
      </c>
      <c r="B15" s="63" t="s">
        <v>178</v>
      </c>
      <c r="C15" s="77">
        <v>128808960</v>
      </c>
      <c r="E15" s="110">
        <v>12</v>
      </c>
      <c r="F15" s="63" t="s">
        <v>13</v>
      </c>
      <c r="G15" s="77">
        <v>107001672.56</v>
      </c>
      <c r="I15" s="78" t="s">
        <v>106</v>
      </c>
      <c r="J15" s="77">
        <v>35940708</v>
      </c>
      <c r="K15" s="124"/>
      <c r="L15" s="78"/>
      <c r="M15" s="123" t="s">
        <v>193</v>
      </c>
      <c r="N15" s="77">
        <v>46800000</v>
      </c>
      <c r="O15" s="124"/>
      <c r="P15" s="78" t="s">
        <v>107</v>
      </c>
      <c r="Q15" s="77">
        <v>16200000</v>
      </c>
      <c r="S15" s="78"/>
      <c r="T15" s="123" t="s">
        <v>190</v>
      </c>
      <c r="U15" s="77">
        <v>15345000</v>
      </c>
      <c r="W15" s="78"/>
      <c r="X15" s="123" t="s">
        <v>37</v>
      </c>
      <c r="Y15" s="77">
        <v>4721352</v>
      </c>
      <c r="Z15" s="124"/>
      <c r="AA15" s="78"/>
      <c r="AB15" s="123" t="s">
        <v>8</v>
      </c>
      <c r="AC15" s="77">
        <v>2875000</v>
      </c>
      <c r="AD15" s="124"/>
      <c r="AE15" s="78"/>
      <c r="AF15" s="63" t="s">
        <v>163</v>
      </c>
      <c r="AG15" s="77">
        <v>20338290</v>
      </c>
      <c r="AI15" s="78"/>
      <c r="AJ15" s="123" t="s">
        <v>153</v>
      </c>
      <c r="AK15" s="77">
        <v>9000000</v>
      </c>
      <c r="AM15" s="78"/>
      <c r="AN15" s="63" t="s">
        <v>8</v>
      </c>
      <c r="AO15" s="77">
        <v>2875000</v>
      </c>
      <c r="AU15" s="78"/>
      <c r="AV15" s="123" t="s">
        <v>215</v>
      </c>
      <c r="AW15" s="77">
        <v>1600000</v>
      </c>
      <c r="AY15" s="78"/>
      <c r="AZ15" s="123" t="s">
        <v>45</v>
      </c>
      <c r="BA15" s="77">
        <v>16038000</v>
      </c>
      <c r="BC15" s="78"/>
      <c r="BD15" s="63" t="s">
        <v>22</v>
      </c>
      <c r="BE15" s="77">
        <v>14115000</v>
      </c>
      <c r="BG15" s="78"/>
      <c r="BH15" s="63" t="s">
        <v>85</v>
      </c>
      <c r="BI15" s="77">
        <v>2400000</v>
      </c>
      <c r="BK15" s="78"/>
      <c r="BL15" s="63" t="s">
        <v>56</v>
      </c>
      <c r="BM15" s="77">
        <v>10440662.399999999</v>
      </c>
      <c r="BO15" s="82"/>
      <c r="BP15" s="83" t="s">
        <v>163</v>
      </c>
      <c r="BQ15" s="80">
        <v>770782.5</v>
      </c>
    </row>
    <row r="16" spans="1:69" ht="29" thickBot="1" x14ac:dyDescent="0.35">
      <c r="A16" s="110">
        <v>9</v>
      </c>
      <c r="B16" s="63" t="s">
        <v>28</v>
      </c>
      <c r="C16" s="77">
        <v>124363631.69999999</v>
      </c>
      <c r="E16" s="110">
        <v>9</v>
      </c>
      <c r="F16" s="63" t="s">
        <v>153</v>
      </c>
      <c r="G16" s="77">
        <v>104202320</v>
      </c>
      <c r="I16" s="82" t="s">
        <v>125</v>
      </c>
      <c r="J16" s="80">
        <v>8938159.1999999993</v>
      </c>
      <c r="K16" s="124"/>
      <c r="L16" s="78"/>
      <c r="M16" s="123" t="s">
        <v>177</v>
      </c>
      <c r="N16" s="77">
        <v>36000000</v>
      </c>
      <c r="O16" s="124"/>
      <c r="P16" s="78" t="s">
        <v>178</v>
      </c>
      <c r="Q16" s="77">
        <v>13254360</v>
      </c>
      <c r="S16" s="78"/>
      <c r="T16" s="123" t="s">
        <v>200</v>
      </c>
      <c r="U16" s="77">
        <v>15200000</v>
      </c>
      <c r="W16" s="78"/>
      <c r="X16" s="123" t="s">
        <v>21</v>
      </c>
      <c r="Y16" s="77">
        <v>3287599.2</v>
      </c>
      <c r="Z16" s="124"/>
      <c r="AA16" s="78"/>
      <c r="AB16" s="123" t="s">
        <v>8</v>
      </c>
      <c r="AC16" s="77">
        <v>2875000</v>
      </c>
      <c r="AD16" s="124"/>
      <c r="AE16" s="78"/>
      <c r="AF16" s="63" t="s">
        <v>184</v>
      </c>
      <c r="AG16" s="77">
        <v>18000000</v>
      </c>
      <c r="AI16" s="78"/>
      <c r="AJ16" s="123" t="s">
        <v>35</v>
      </c>
      <c r="AK16" s="77">
        <v>8500000</v>
      </c>
      <c r="AM16" s="78"/>
      <c r="AN16" s="63" t="s">
        <v>64</v>
      </c>
      <c r="AO16" s="77">
        <v>2640000</v>
      </c>
      <c r="AU16" s="78"/>
      <c r="AV16" s="123" t="s">
        <v>79</v>
      </c>
      <c r="AW16" s="77">
        <v>1515200</v>
      </c>
      <c r="AY16" s="78"/>
      <c r="AZ16" s="123" t="s">
        <v>111</v>
      </c>
      <c r="BA16" s="77">
        <v>14500000</v>
      </c>
      <c r="BC16" s="78"/>
      <c r="BD16" s="63" t="s">
        <v>177</v>
      </c>
      <c r="BE16" s="77">
        <v>11200000</v>
      </c>
      <c r="BG16" s="78"/>
      <c r="BH16" s="63" t="s">
        <v>210</v>
      </c>
      <c r="BI16" s="77">
        <v>1200000</v>
      </c>
      <c r="BK16" s="78"/>
      <c r="BL16" s="63" t="s">
        <v>20</v>
      </c>
      <c r="BM16" s="77">
        <v>8000000</v>
      </c>
      <c r="BQ16" s="69"/>
    </row>
    <row r="17" spans="1:69" ht="29" thickBot="1" x14ac:dyDescent="0.35">
      <c r="A17" s="110">
        <v>10</v>
      </c>
      <c r="B17" s="63" t="s">
        <v>17</v>
      </c>
      <c r="C17" s="77">
        <v>123206686.77000003</v>
      </c>
      <c r="E17" s="110">
        <v>10</v>
      </c>
      <c r="F17" s="63" t="s">
        <v>8</v>
      </c>
      <c r="G17" s="77">
        <v>103217824.1675</v>
      </c>
      <c r="L17" s="78"/>
      <c r="M17" s="123" t="s">
        <v>179</v>
      </c>
      <c r="N17" s="77">
        <v>35100000</v>
      </c>
      <c r="O17" s="124"/>
      <c r="P17" s="78" t="s">
        <v>190</v>
      </c>
      <c r="Q17" s="77">
        <v>13185000</v>
      </c>
      <c r="S17" s="78"/>
      <c r="T17" s="123" t="s">
        <v>187</v>
      </c>
      <c r="U17" s="77">
        <v>15106608</v>
      </c>
      <c r="W17" s="78"/>
      <c r="X17" s="123" t="s">
        <v>163</v>
      </c>
      <c r="Y17" s="77">
        <v>3254415</v>
      </c>
      <c r="Z17" s="124"/>
      <c r="AA17" s="78"/>
      <c r="AB17" s="123" t="s">
        <v>64</v>
      </c>
      <c r="AC17" s="77">
        <v>2640000</v>
      </c>
      <c r="AD17" s="124"/>
      <c r="AE17" s="78"/>
      <c r="AF17" s="63" t="s">
        <v>178</v>
      </c>
      <c r="AG17" s="77">
        <v>17577000</v>
      </c>
      <c r="AI17" s="78"/>
      <c r="AJ17" s="123" t="s">
        <v>17</v>
      </c>
      <c r="AK17" s="77">
        <v>5241600</v>
      </c>
      <c r="AM17" s="78"/>
      <c r="AN17" s="63" t="s">
        <v>64</v>
      </c>
      <c r="AO17" s="77">
        <v>2640000</v>
      </c>
      <c r="AU17" s="78"/>
      <c r="AV17" s="123" t="s">
        <v>22</v>
      </c>
      <c r="AW17" s="77">
        <v>1343430</v>
      </c>
      <c r="AY17" s="78"/>
      <c r="AZ17" s="123" t="s">
        <v>20</v>
      </c>
      <c r="BA17" s="77">
        <v>14400000</v>
      </c>
      <c r="BC17" s="78"/>
      <c r="BD17" s="63" t="s">
        <v>220</v>
      </c>
      <c r="BE17" s="77">
        <v>10000000</v>
      </c>
      <c r="BG17" s="82"/>
      <c r="BH17" s="83" t="s">
        <v>211</v>
      </c>
      <c r="BI17" s="80">
        <v>600000</v>
      </c>
      <c r="BK17" s="78"/>
      <c r="BL17" s="63" t="s">
        <v>15</v>
      </c>
      <c r="BM17" s="77">
        <v>7335000</v>
      </c>
      <c r="BQ17" s="69"/>
    </row>
    <row r="18" spans="1:69" ht="29" thickBot="1" x14ac:dyDescent="0.35">
      <c r="A18" s="110">
        <v>11</v>
      </c>
      <c r="B18" s="63" t="s">
        <v>13</v>
      </c>
      <c r="C18" s="77">
        <v>107001672.56</v>
      </c>
      <c r="E18" s="110">
        <v>11</v>
      </c>
      <c r="F18" s="63" t="s">
        <v>19</v>
      </c>
      <c r="G18" s="77">
        <v>100933924.04099999</v>
      </c>
      <c r="L18" s="78"/>
      <c r="M18" s="123" t="s">
        <v>198</v>
      </c>
      <c r="N18" s="77">
        <v>31860000</v>
      </c>
      <c r="O18" s="124"/>
      <c r="P18" s="78" t="s">
        <v>189</v>
      </c>
      <c r="Q18" s="77">
        <v>10800000</v>
      </c>
      <c r="S18" s="78"/>
      <c r="T18" s="123" t="s">
        <v>38</v>
      </c>
      <c r="U18" s="77">
        <v>14490000</v>
      </c>
      <c r="W18" s="78"/>
      <c r="X18" s="123" t="s">
        <v>124</v>
      </c>
      <c r="Y18" s="77">
        <v>2973060</v>
      </c>
      <c r="Z18" s="124"/>
      <c r="AA18" s="78"/>
      <c r="AB18" s="123" t="s">
        <v>64</v>
      </c>
      <c r="AC18" s="77">
        <v>2640000</v>
      </c>
      <c r="AD18" s="124"/>
      <c r="AE18" s="78"/>
      <c r="AF18" s="63" t="s">
        <v>20</v>
      </c>
      <c r="AG18" s="77">
        <v>17500000</v>
      </c>
      <c r="AI18" s="78"/>
      <c r="AJ18" s="123" t="s">
        <v>8</v>
      </c>
      <c r="AK18" s="77">
        <v>4352502.7465000004</v>
      </c>
      <c r="AM18" s="78"/>
      <c r="AN18" s="63" t="s">
        <v>17</v>
      </c>
      <c r="AO18" s="77">
        <v>2432430</v>
      </c>
      <c r="AU18" s="78"/>
      <c r="AV18" s="123" t="s">
        <v>78</v>
      </c>
      <c r="AW18" s="77">
        <v>782787.88314606727</v>
      </c>
      <c r="AY18" s="78"/>
      <c r="AZ18" s="123" t="s">
        <v>57</v>
      </c>
      <c r="BA18" s="77">
        <v>9200000</v>
      </c>
      <c r="BC18" s="78"/>
      <c r="BD18" s="63" t="s">
        <v>17</v>
      </c>
      <c r="BE18" s="77">
        <v>8136993.4800000004</v>
      </c>
      <c r="BI18" s="69"/>
      <c r="BK18" s="82"/>
      <c r="BL18" s="83" t="s">
        <v>40</v>
      </c>
      <c r="BM18" s="80">
        <v>5040000</v>
      </c>
      <c r="BQ18" s="69"/>
    </row>
    <row r="19" spans="1:69" x14ac:dyDescent="0.3">
      <c r="A19" s="110">
        <v>13</v>
      </c>
      <c r="B19" s="63" t="s">
        <v>153</v>
      </c>
      <c r="C19" s="77">
        <v>104202320</v>
      </c>
      <c r="E19" s="110">
        <v>13</v>
      </c>
      <c r="F19" s="63" t="s">
        <v>21</v>
      </c>
      <c r="G19" s="77">
        <v>91328479.200000003</v>
      </c>
      <c r="L19" s="78"/>
      <c r="M19" s="123" t="s">
        <v>183</v>
      </c>
      <c r="N19" s="77">
        <v>30240000</v>
      </c>
      <c r="O19" s="124"/>
      <c r="P19" s="78" t="s">
        <v>20</v>
      </c>
      <c r="Q19" s="77">
        <v>10780000</v>
      </c>
      <c r="S19" s="78"/>
      <c r="T19" s="123" t="s">
        <v>66</v>
      </c>
      <c r="U19" s="77">
        <v>13600000</v>
      </c>
      <c r="W19" s="78"/>
      <c r="X19" s="123" t="s">
        <v>158</v>
      </c>
      <c r="Y19" s="77">
        <v>1950000</v>
      </c>
      <c r="Z19" s="124"/>
      <c r="AA19" s="78"/>
      <c r="AB19" s="123" t="s">
        <v>17</v>
      </c>
      <c r="AC19" s="77">
        <v>2432430</v>
      </c>
      <c r="AD19" s="124"/>
      <c r="AE19" s="78"/>
      <c r="AF19" s="63" t="s">
        <v>176</v>
      </c>
      <c r="AG19" s="77">
        <v>16000000</v>
      </c>
      <c r="AI19" s="78"/>
      <c r="AJ19" s="123" t="s">
        <v>72</v>
      </c>
      <c r="AK19" s="77">
        <v>3440000</v>
      </c>
      <c r="AM19" s="78"/>
      <c r="AN19" s="63" t="s">
        <v>17</v>
      </c>
      <c r="AO19" s="77">
        <v>2432430</v>
      </c>
      <c r="AU19" s="78"/>
      <c r="AV19" s="123" t="s">
        <v>79</v>
      </c>
      <c r="AW19" s="77">
        <v>781200</v>
      </c>
      <c r="AY19" s="78"/>
      <c r="AZ19" s="123" t="s">
        <v>166</v>
      </c>
      <c r="BA19" s="77">
        <v>8640000</v>
      </c>
      <c r="BC19" s="78"/>
      <c r="BD19" s="63" t="s">
        <v>176</v>
      </c>
      <c r="BE19" s="77">
        <v>7956000</v>
      </c>
      <c r="BI19" s="69"/>
      <c r="BM19" s="69"/>
      <c r="BQ19" s="69"/>
    </row>
    <row r="20" spans="1:69" x14ac:dyDescent="0.3">
      <c r="A20" s="110">
        <v>14</v>
      </c>
      <c r="B20" s="63" t="s">
        <v>19</v>
      </c>
      <c r="C20" s="77">
        <v>100933924.04099999</v>
      </c>
      <c r="E20" s="110">
        <v>14</v>
      </c>
      <c r="F20" s="63" t="s">
        <v>22</v>
      </c>
      <c r="G20" s="77">
        <v>90113430</v>
      </c>
      <c r="L20" s="78"/>
      <c r="M20" s="123" t="s">
        <v>194</v>
      </c>
      <c r="N20" s="77">
        <v>24300000</v>
      </c>
      <c r="O20" s="124"/>
      <c r="P20" s="78" t="s">
        <v>66</v>
      </c>
      <c r="Q20" s="77">
        <v>9600000</v>
      </c>
      <c r="S20" s="78"/>
      <c r="T20" s="123" t="s">
        <v>53</v>
      </c>
      <c r="U20" s="77">
        <v>13288536</v>
      </c>
      <c r="W20" s="78"/>
      <c r="X20" s="123" t="s">
        <v>184</v>
      </c>
      <c r="Y20" s="77">
        <v>1600000</v>
      </c>
      <c r="Z20" s="124"/>
      <c r="AA20" s="78"/>
      <c r="AB20" s="123" t="s">
        <v>17</v>
      </c>
      <c r="AC20" s="77">
        <v>2432430</v>
      </c>
      <c r="AD20" s="124"/>
      <c r="AE20" s="78"/>
      <c r="AF20" s="63" t="s">
        <v>185</v>
      </c>
      <c r="AG20" s="77">
        <v>15480000</v>
      </c>
      <c r="AI20" s="78"/>
      <c r="AJ20" s="123" t="s">
        <v>158</v>
      </c>
      <c r="AK20" s="77">
        <v>2700000</v>
      </c>
      <c r="AM20" s="78"/>
      <c r="AN20" s="63" t="s">
        <v>13</v>
      </c>
      <c r="AO20" s="77">
        <v>2273417.1</v>
      </c>
      <c r="AU20" s="78"/>
      <c r="AV20" s="123" t="s">
        <v>78</v>
      </c>
      <c r="AW20" s="77">
        <v>764733.68449438189</v>
      </c>
      <c r="AY20" s="78"/>
      <c r="AZ20" s="123" t="s">
        <v>171</v>
      </c>
      <c r="BA20" s="77">
        <v>7200000</v>
      </c>
      <c r="BC20" s="78"/>
      <c r="BD20" s="63" t="s">
        <v>13</v>
      </c>
      <c r="BE20" s="77">
        <v>7833479.5199999996</v>
      </c>
      <c r="BI20" s="69"/>
      <c r="BM20" s="69"/>
      <c r="BQ20" s="69"/>
    </row>
    <row r="21" spans="1:69" x14ac:dyDescent="0.3">
      <c r="A21" s="110">
        <v>15</v>
      </c>
      <c r="B21" s="63" t="s">
        <v>21</v>
      </c>
      <c r="C21" s="77">
        <v>91328479.200000003</v>
      </c>
      <c r="E21" s="110">
        <v>15</v>
      </c>
      <c r="F21" s="63" t="s">
        <v>20</v>
      </c>
      <c r="G21" s="77">
        <v>61460000</v>
      </c>
      <c r="L21" s="78"/>
      <c r="M21" s="123" t="s">
        <v>171</v>
      </c>
      <c r="N21" s="77">
        <v>23400000</v>
      </c>
      <c r="O21" s="124"/>
      <c r="P21" s="78" t="s">
        <v>33</v>
      </c>
      <c r="Q21" s="77">
        <v>8983801.8000000007</v>
      </c>
      <c r="S21" s="78"/>
      <c r="T21" s="123" t="s">
        <v>170</v>
      </c>
      <c r="U21" s="77">
        <v>12150000</v>
      </c>
      <c r="W21" s="78"/>
      <c r="X21" s="123" t="s">
        <v>114</v>
      </c>
      <c r="Y21" s="77">
        <v>1437500</v>
      </c>
      <c r="Z21" s="124"/>
      <c r="AA21" s="78"/>
      <c r="AB21" s="123" t="s">
        <v>13</v>
      </c>
      <c r="AC21" s="77">
        <v>2273417.1</v>
      </c>
      <c r="AD21" s="124"/>
      <c r="AE21" s="78"/>
      <c r="AF21" s="63" t="s">
        <v>21</v>
      </c>
      <c r="AG21" s="77">
        <v>14670000</v>
      </c>
      <c r="AI21" s="78"/>
      <c r="AJ21" s="123" t="s">
        <v>53</v>
      </c>
      <c r="AK21" s="77">
        <v>2546775</v>
      </c>
      <c r="AM21" s="78"/>
      <c r="AN21" s="63" t="s">
        <v>35</v>
      </c>
      <c r="AO21" s="77">
        <v>1848000.0000000002</v>
      </c>
      <c r="AU21" s="78"/>
      <c r="AV21" s="123" t="s">
        <v>114</v>
      </c>
      <c r="AW21" s="77">
        <v>258464</v>
      </c>
      <c r="AY21" s="78"/>
      <c r="AZ21" s="123" t="s">
        <v>70</v>
      </c>
      <c r="BA21" s="77">
        <v>6000000</v>
      </c>
      <c r="BC21" s="78"/>
      <c r="BD21" s="63" t="s">
        <v>173</v>
      </c>
      <c r="BE21" s="77">
        <v>7369600</v>
      </c>
      <c r="BI21" s="69"/>
      <c r="BM21" s="69"/>
      <c r="BQ21" s="69"/>
    </row>
    <row r="22" spans="1:69" x14ac:dyDescent="0.3">
      <c r="A22" s="110">
        <v>16</v>
      </c>
      <c r="B22" s="63" t="s">
        <v>22</v>
      </c>
      <c r="C22" s="77">
        <v>90113430</v>
      </c>
      <c r="E22" s="110">
        <v>16</v>
      </c>
      <c r="F22" s="63" t="s">
        <v>175</v>
      </c>
      <c r="G22" s="77">
        <v>56000000</v>
      </c>
      <c r="L22" s="78"/>
      <c r="M22" s="123" t="s">
        <v>124</v>
      </c>
      <c r="N22" s="77">
        <v>20520000</v>
      </c>
      <c r="O22" s="124"/>
      <c r="P22" s="78" t="s">
        <v>43</v>
      </c>
      <c r="Q22" s="77">
        <v>7333721.9999999991</v>
      </c>
      <c r="S22" s="78"/>
      <c r="T22" s="123" t="s">
        <v>52</v>
      </c>
      <c r="U22" s="77">
        <v>11880000</v>
      </c>
      <c r="W22" s="78"/>
      <c r="X22" s="123" t="s">
        <v>209</v>
      </c>
      <c r="Y22" s="77">
        <v>810000</v>
      </c>
      <c r="Z22" s="124"/>
      <c r="AA22" s="78"/>
      <c r="AB22" s="123" t="s">
        <v>35</v>
      </c>
      <c r="AC22" s="77">
        <v>1848000.0000000002</v>
      </c>
      <c r="AD22" s="124"/>
      <c r="AE22" s="78"/>
      <c r="AF22" s="63" t="s">
        <v>171</v>
      </c>
      <c r="AG22" s="77">
        <v>13500000</v>
      </c>
      <c r="AI22" s="78"/>
      <c r="AJ22" s="123" t="s">
        <v>75</v>
      </c>
      <c r="AK22" s="77">
        <v>2461538.4</v>
      </c>
      <c r="AM22" s="78"/>
      <c r="AN22" s="63" t="s">
        <v>12</v>
      </c>
      <c r="AO22" s="77">
        <v>1620000</v>
      </c>
      <c r="AU22" s="78"/>
      <c r="AV22" s="123" t="s">
        <v>92</v>
      </c>
      <c r="AW22" s="77">
        <v>366774</v>
      </c>
      <c r="AY22" s="78"/>
      <c r="AZ22" s="123" t="s">
        <v>40</v>
      </c>
      <c r="BA22" s="77">
        <v>5940000</v>
      </c>
      <c r="BC22" s="78"/>
      <c r="BD22" s="63" t="s">
        <v>20</v>
      </c>
      <c r="BE22" s="77">
        <v>6580000</v>
      </c>
      <c r="BI22" s="69"/>
      <c r="BM22" s="69"/>
    </row>
    <row r="23" spans="1:69" ht="29" thickBot="1" x14ac:dyDescent="0.35">
      <c r="A23" s="110">
        <v>17</v>
      </c>
      <c r="B23" s="63" t="s">
        <v>37</v>
      </c>
      <c r="C23" s="77">
        <v>87784573.479999989</v>
      </c>
      <c r="E23" s="110">
        <v>17</v>
      </c>
      <c r="F23" s="63" t="s">
        <v>15</v>
      </c>
      <c r="G23" s="77">
        <v>52490500</v>
      </c>
      <c r="L23" s="78"/>
      <c r="M23" s="123" t="s">
        <v>197</v>
      </c>
      <c r="N23" s="77">
        <v>16650000</v>
      </c>
      <c r="O23" s="124"/>
      <c r="P23" s="78" t="s">
        <v>57</v>
      </c>
      <c r="Q23" s="77">
        <v>7000000</v>
      </c>
      <c r="S23" s="78"/>
      <c r="T23" s="123" t="s">
        <v>43</v>
      </c>
      <c r="U23" s="77">
        <v>10001267.1</v>
      </c>
      <c r="W23" s="82"/>
      <c r="X23" s="83"/>
      <c r="Y23" s="80"/>
      <c r="Z23" s="124"/>
      <c r="AA23" s="78"/>
      <c r="AB23" s="123" t="s">
        <v>12</v>
      </c>
      <c r="AC23" s="77">
        <v>1620000</v>
      </c>
      <c r="AD23" s="124"/>
      <c r="AE23" s="78"/>
      <c r="AF23" s="63" t="s">
        <v>183</v>
      </c>
      <c r="AG23" s="77">
        <v>13230000</v>
      </c>
      <c r="AI23" s="78"/>
      <c r="AJ23" s="123" t="s">
        <v>76</v>
      </c>
      <c r="AK23" s="77">
        <v>2461538.4</v>
      </c>
      <c r="AM23" s="78"/>
      <c r="AN23" s="63" t="s">
        <v>33</v>
      </c>
      <c r="AO23" s="77">
        <v>1485000</v>
      </c>
      <c r="AU23" s="78"/>
      <c r="AV23" s="125"/>
      <c r="AW23" s="77"/>
      <c r="AY23" s="78"/>
      <c r="AZ23" s="123" t="s">
        <v>153</v>
      </c>
      <c r="BA23" s="77">
        <v>5400000</v>
      </c>
      <c r="BC23" s="78"/>
      <c r="BD23" s="63" t="s">
        <v>62</v>
      </c>
      <c r="BE23" s="77">
        <v>5718375</v>
      </c>
      <c r="BI23" s="69"/>
      <c r="BM23" s="69"/>
    </row>
    <row r="24" spans="1:69" x14ac:dyDescent="0.3">
      <c r="A24" s="110">
        <v>18</v>
      </c>
      <c r="B24" s="63" t="s">
        <v>177</v>
      </c>
      <c r="C24" s="77">
        <v>71200000</v>
      </c>
      <c r="E24" s="110">
        <v>18</v>
      </c>
      <c r="F24" s="63" t="s">
        <v>163</v>
      </c>
      <c r="G24" s="77">
        <v>51023103</v>
      </c>
      <c r="L24" s="78"/>
      <c r="M24" s="123" t="s">
        <v>15</v>
      </c>
      <c r="N24" s="77">
        <v>15841125</v>
      </c>
      <c r="O24" s="124"/>
      <c r="P24" s="78" t="s">
        <v>53</v>
      </c>
      <c r="Q24" s="77">
        <v>6041854.8000000007</v>
      </c>
      <c r="S24" s="78"/>
      <c r="T24" s="123" t="s">
        <v>44</v>
      </c>
      <c r="U24" s="77">
        <v>9450000</v>
      </c>
      <c r="AA24" s="78"/>
      <c r="AB24" s="123" t="s">
        <v>33</v>
      </c>
      <c r="AC24" s="77">
        <v>1485000</v>
      </c>
      <c r="AD24" s="124"/>
      <c r="AE24" s="78"/>
      <c r="AF24" s="63" t="s">
        <v>15</v>
      </c>
      <c r="AG24" s="77">
        <v>11002500</v>
      </c>
      <c r="AI24" s="78"/>
      <c r="AJ24" s="123" t="s">
        <v>159</v>
      </c>
      <c r="AK24" s="77">
        <v>2461538.4</v>
      </c>
      <c r="AM24" s="78"/>
      <c r="AN24" s="63" t="s">
        <v>53</v>
      </c>
      <c r="AO24" s="77">
        <v>1485000</v>
      </c>
      <c r="AU24" s="78"/>
      <c r="AV24" s="125"/>
      <c r="AW24" s="77"/>
      <c r="AY24" s="78"/>
      <c r="AZ24" s="123" t="s">
        <v>53</v>
      </c>
      <c r="BA24" s="77">
        <v>5376929.4000000004</v>
      </c>
      <c r="BC24" s="78"/>
      <c r="BD24" s="63" t="s">
        <v>48</v>
      </c>
      <c r="BE24" s="77">
        <v>5549310</v>
      </c>
      <c r="BI24" s="69"/>
      <c r="BM24" s="69"/>
    </row>
    <row r="25" spans="1:69" x14ac:dyDescent="0.3">
      <c r="A25" s="110">
        <v>19</v>
      </c>
      <c r="B25" s="63" t="s">
        <v>15</v>
      </c>
      <c r="C25" s="77">
        <v>68331625</v>
      </c>
      <c r="E25" s="110">
        <v>19</v>
      </c>
      <c r="F25" s="63" t="s">
        <v>24</v>
      </c>
      <c r="G25" s="105">
        <v>48599999.783999994</v>
      </c>
      <c r="L25" s="78"/>
      <c r="M25" s="123" t="s">
        <v>30</v>
      </c>
      <c r="N25" s="77">
        <v>11700000</v>
      </c>
      <c r="O25" s="124"/>
      <c r="P25" s="78" t="s">
        <v>58</v>
      </c>
      <c r="Q25" s="77">
        <v>5800000</v>
      </c>
      <c r="S25" s="78"/>
      <c r="T25" s="123" t="s">
        <v>163</v>
      </c>
      <c r="U25" s="77">
        <v>8911350</v>
      </c>
      <c r="AA25" s="78"/>
      <c r="AB25" s="123" t="s">
        <v>53</v>
      </c>
      <c r="AC25" s="77">
        <v>1485000</v>
      </c>
      <c r="AD25" s="124"/>
      <c r="AE25" s="78"/>
      <c r="AF25" s="63" t="s">
        <v>182</v>
      </c>
      <c r="AG25" s="77">
        <v>10800000</v>
      </c>
      <c r="AI25" s="78"/>
      <c r="AJ25" s="123" t="s">
        <v>53</v>
      </c>
      <c r="AK25" s="77">
        <v>2037420</v>
      </c>
      <c r="AM25" s="78"/>
      <c r="AN25" s="63" t="s">
        <v>86</v>
      </c>
      <c r="AO25" s="77">
        <v>1138500</v>
      </c>
      <c r="AU25" s="78"/>
      <c r="AV25" s="123"/>
      <c r="AW25" s="77"/>
      <c r="AY25" s="78"/>
      <c r="AZ25" s="123" t="s">
        <v>170</v>
      </c>
      <c r="BA25" s="77">
        <v>4320000</v>
      </c>
      <c r="BC25" s="78"/>
      <c r="BD25" s="63" t="s">
        <v>13</v>
      </c>
      <c r="BE25" s="77">
        <v>5304000</v>
      </c>
      <c r="BI25" s="69"/>
      <c r="BM25" s="69"/>
    </row>
    <row r="26" spans="1:69" ht="29" thickBot="1" x14ac:dyDescent="0.35">
      <c r="A26" s="111">
        <v>20</v>
      </c>
      <c r="B26" s="83" t="s">
        <v>196</v>
      </c>
      <c r="C26" s="80">
        <v>65610000</v>
      </c>
      <c r="E26" s="111">
        <v>20</v>
      </c>
      <c r="F26" s="83" t="s">
        <v>26</v>
      </c>
      <c r="G26" s="106">
        <v>42151800</v>
      </c>
      <c r="L26" s="78"/>
      <c r="M26" s="123" t="s">
        <v>31</v>
      </c>
      <c r="N26" s="77">
        <v>11259000</v>
      </c>
      <c r="O26" s="124"/>
      <c r="P26" s="78" t="s">
        <v>170</v>
      </c>
      <c r="Q26" s="77">
        <v>4320000</v>
      </c>
      <c r="S26" s="78"/>
      <c r="T26" s="123" t="s">
        <v>189</v>
      </c>
      <c r="U26" s="77">
        <v>8100000</v>
      </c>
      <c r="AA26" s="78"/>
      <c r="AB26" s="123" t="s">
        <v>86</v>
      </c>
      <c r="AC26" s="77">
        <v>1138500</v>
      </c>
      <c r="AD26" s="124"/>
      <c r="AE26" s="78"/>
      <c r="AF26" s="63" t="s">
        <v>19</v>
      </c>
      <c r="AG26" s="77">
        <v>9747807.3000000007</v>
      </c>
      <c r="AI26" s="78"/>
      <c r="AJ26" s="123" t="s">
        <v>33</v>
      </c>
      <c r="AK26" s="77">
        <v>2037420</v>
      </c>
      <c r="AM26" s="78"/>
      <c r="AN26" s="63" t="s">
        <v>35</v>
      </c>
      <c r="AO26" s="77">
        <v>924000.00000000012</v>
      </c>
      <c r="AU26" s="78"/>
      <c r="AV26" s="123"/>
      <c r="AW26" s="77"/>
      <c r="AY26" s="78"/>
      <c r="AZ26" s="123" t="s">
        <v>167</v>
      </c>
      <c r="BA26" s="77">
        <v>4320000</v>
      </c>
      <c r="BC26" s="78"/>
      <c r="BD26" s="63" t="s">
        <v>66</v>
      </c>
      <c r="BE26" s="77">
        <v>5046140</v>
      </c>
      <c r="BI26" s="69"/>
      <c r="BM26" s="69"/>
    </row>
    <row r="27" spans="1:69" ht="29" thickBot="1" x14ac:dyDescent="0.35">
      <c r="B27" s="63" t="s">
        <v>20</v>
      </c>
      <c r="C27" s="69">
        <v>61460000</v>
      </c>
      <c r="F27" s="63" t="s">
        <v>23</v>
      </c>
      <c r="G27" s="86">
        <v>36724565.200000003</v>
      </c>
      <c r="L27" s="78"/>
      <c r="M27" s="123" t="s">
        <v>34</v>
      </c>
      <c r="N27" s="77">
        <v>10935000</v>
      </c>
      <c r="O27" s="124"/>
      <c r="P27" s="78" t="s">
        <v>61</v>
      </c>
      <c r="Q27" s="77">
        <v>3742200</v>
      </c>
      <c r="S27" s="78"/>
      <c r="T27" s="123" t="s">
        <v>122</v>
      </c>
      <c r="U27" s="77">
        <v>7560000</v>
      </c>
      <c r="AA27" s="78"/>
      <c r="AB27" s="123" t="s">
        <v>35</v>
      </c>
      <c r="AC27" s="77">
        <v>924000.00000000012</v>
      </c>
      <c r="AD27" s="124"/>
      <c r="AE27" s="78"/>
      <c r="AF27" s="63" t="s">
        <v>181</v>
      </c>
      <c r="AG27" s="77">
        <v>7408800</v>
      </c>
      <c r="AI27" s="78"/>
      <c r="AJ27" s="123" t="s">
        <v>112</v>
      </c>
      <c r="AK27" s="77">
        <v>1961506.8</v>
      </c>
      <c r="AM27" s="78"/>
      <c r="AN27" s="63" t="s">
        <v>77</v>
      </c>
      <c r="AO27" s="77">
        <v>862500</v>
      </c>
      <c r="AU27" s="82"/>
      <c r="AV27" s="83"/>
      <c r="AW27" s="80"/>
      <c r="AY27" s="78"/>
      <c r="AZ27" s="123" t="s">
        <v>123</v>
      </c>
      <c r="BA27" s="77">
        <v>4050000</v>
      </c>
      <c r="BC27" s="78"/>
      <c r="BD27" s="63" t="s">
        <v>65</v>
      </c>
      <c r="BE27" s="77">
        <v>5032170</v>
      </c>
      <c r="BI27" s="69"/>
      <c r="BM27" s="69"/>
    </row>
    <row r="28" spans="1:69" x14ac:dyDescent="0.3">
      <c r="B28" s="63" t="s">
        <v>152</v>
      </c>
      <c r="C28" s="69">
        <v>61400000</v>
      </c>
      <c r="F28" s="63" t="s">
        <v>173</v>
      </c>
      <c r="G28" s="86">
        <v>36400000</v>
      </c>
      <c r="L28" s="78"/>
      <c r="M28" s="123" t="s">
        <v>192</v>
      </c>
      <c r="N28" s="77">
        <v>10200000</v>
      </c>
      <c r="O28" s="124"/>
      <c r="P28" s="78" t="s">
        <v>191</v>
      </c>
      <c r="Q28" s="77">
        <v>3666861</v>
      </c>
      <c r="S28" s="78"/>
      <c r="T28" s="123" t="s">
        <v>55</v>
      </c>
      <c r="U28" s="77">
        <v>7074000</v>
      </c>
      <c r="AA28" s="78"/>
      <c r="AB28" s="123" t="s">
        <v>77</v>
      </c>
      <c r="AC28" s="77">
        <v>862500</v>
      </c>
      <c r="AD28" s="124"/>
      <c r="AE28" s="78"/>
      <c r="AF28" s="63" t="s">
        <v>168</v>
      </c>
      <c r="AG28" s="77">
        <v>6840000</v>
      </c>
      <c r="AI28" s="78"/>
      <c r="AJ28" s="123" t="s">
        <v>161</v>
      </c>
      <c r="AK28" s="77">
        <v>1720000</v>
      </c>
      <c r="AM28" s="78"/>
      <c r="AN28" s="63" t="s">
        <v>5</v>
      </c>
      <c r="AO28" s="77">
        <v>613156</v>
      </c>
      <c r="AW28" s="69"/>
      <c r="AY28" s="78"/>
      <c r="AZ28" s="123" t="s">
        <v>51</v>
      </c>
      <c r="BA28" s="77">
        <v>4050000</v>
      </c>
      <c r="BC28" s="78"/>
      <c r="BD28" s="63" t="s">
        <v>66</v>
      </c>
      <c r="BE28" s="77">
        <v>5012280</v>
      </c>
      <c r="BI28" s="69"/>
      <c r="BM28" s="69"/>
    </row>
    <row r="29" spans="1:69" x14ac:dyDescent="0.3">
      <c r="B29" s="63" t="s">
        <v>175</v>
      </c>
      <c r="C29" s="69">
        <v>56000000</v>
      </c>
      <c r="E29" s="66"/>
      <c r="F29" s="63" t="s">
        <v>177</v>
      </c>
      <c r="G29" s="86">
        <v>35200000</v>
      </c>
      <c r="L29" s="78"/>
      <c r="M29" s="123" t="s">
        <v>184</v>
      </c>
      <c r="N29" s="77">
        <v>8100000</v>
      </c>
      <c r="O29" s="124"/>
      <c r="P29" s="78" t="s">
        <v>109</v>
      </c>
      <c r="Q29" s="77">
        <v>3639003.3000000003</v>
      </c>
      <c r="S29" s="78"/>
      <c r="T29" s="123" t="s">
        <v>61</v>
      </c>
      <c r="U29" s="77">
        <v>6615000</v>
      </c>
      <c r="AA29" s="78"/>
      <c r="AB29" s="123" t="s">
        <v>5</v>
      </c>
      <c r="AC29" s="77">
        <v>613156</v>
      </c>
      <c r="AD29" s="124"/>
      <c r="AE29" s="78"/>
      <c r="AF29" s="63" t="s">
        <v>179</v>
      </c>
      <c r="AG29" s="77">
        <v>5040000</v>
      </c>
      <c r="AI29" s="78"/>
      <c r="AJ29" s="123" t="s">
        <v>232</v>
      </c>
      <c r="AK29" s="77">
        <v>600000</v>
      </c>
      <c r="AM29" s="78"/>
      <c r="AN29" s="63" t="s">
        <v>86</v>
      </c>
      <c r="AO29" s="77">
        <v>569250</v>
      </c>
      <c r="AW29" s="69"/>
      <c r="AY29" s="78"/>
      <c r="AZ29" s="123" t="s">
        <v>158</v>
      </c>
      <c r="BA29" s="77">
        <v>3240000</v>
      </c>
      <c r="BC29" s="78"/>
      <c r="BD29" s="63" t="s">
        <v>148</v>
      </c>
      <c r="BE29" s="77">
        <v>4000000</v>
      </c>
      <c r="BI29" s="69"/>
      <c r="BM29" s="69"/>
    </row>
    <row r="30" spans="1:69" x14ac:dyDescent="0.3">
      <c r="B30" s="63" t="s">
        <v>163</v>
      </c>
      <c r="C30" s="69">
        <v>51023103</v>
      </c>
      <c r="E30" s="66"/>
      <c r="F30" s="63" t="s">
        <v>66</v>
      </c>
      <c r="G30" s="86">
        <v>33258420</v>
      </c>
      <c r="L30" s="78"/>
      <c r="M30" s="123" t="s">
        <v>79</v>
      </c>
      <c r="N30" s="77">
        <v>6885000</v>
      </c>
      <c r="O30" s="124"/>
      <c r="P30" s="78" t="s">
        <v>117</v>
      </c>
      <c r="Q30" s="77">
        <v>3600000</v>
      </c>
      <c r="S30" s="78"/>
      <c r="T30" s="123" t="s">
        <v>184</v>
      </c>
      <c r="U30" s="77">
        <v>5953500</v>
      </c>
      <c r="AA30" s="78"/>
      <c r="AB30" s="123" t="s">
        <v>86</v>
      </c>
      <c r="AC30" s="77">
        <v>569250</v>
      </c>
      <c r="AD30" s="124"/>
      <c r="AE30" s="78"/>
      <c r="AF30" s="63" t="s">
        <v>180</v>
      </c>
      <c r="AG30" s="77">
        <v>4950000</v>
      </c>
      <c r="AI30" s="78"/>
      <c r="AJ30" s="123"/>
      <c r="AK30" s="77"/>
      <c r="AM30" s="78"/>
      <c r="AN30" s="63" t="s">
        <v>87</v>
      </c>
      <c r="AO30" s="77">
        <v>528000</v>
      </c>
      <c r="AW30" s="69"/>
      <c r="AY30" s="78"/>
      <c r="AZ30" s="123" t="s">
        <v>109</v>
      </c>
      <c r="BA30" s="77">
        <v>2700000</v>
      </c>
      <c r="BC30" s="78"/>
      <c r="BD30" s="63" t="s">
        <v>216</v>
      </c>
      <c r="BE30" s="77">
        <v>3978000</v>
      </c>
      <c r="BI30" s="69"/>
      <c r="BM30" s="69"/>
    </row>
    <row r="31" spans="1:69" ht="29" thickBot="1" x14ac:dyDescent="0.35">
      <c r="B31" s="63" t="s">
        <v>24</v>
      </c>
      <c r="C31" s="69">
        <v>48599999.783999994</v>
      </c>
      <c r="E31" s="66"/>
      <c r="F31" s="63" t="s">
        <v>53</v>
      </c>
      <c r="G31" s="86">
        <v>32776515.199999999</v>
      </c>
      <c r="L31" s="78"/>
      <c r="M31" s="123" t="s">
        <v>195</v>
      </c>
      <c r="N31" s="77">
        <v>3240000</v>
      </c>
      <c r="O31" s="124"/>
      <c r="P31" s="78" t="s">
        <v>158</v>
      </c>
      <c r="Q31" s="77">
        <v>3240000</v>
      </c>
      <c r="S31" s="78"/>
      <c r="T31" s="123" t="s">
        <v>60</v>
      </c>
      <c r="U31" s="77">
        <v>7760000</v>
      </c>
      <c r="AA31" s="78"/>
      <c r="AB31" s="123" t="s">
        <v>87</v>
      </c>
      <c r="AC31" s="77">
        <v>528000</v>
      </c>
      <c r="AD31" s="124"/>
      <c r="AE31" s="82"/>
      <c r="AF31" s="83" t="s">
        <v>187</v>
      </c>
      <c r="AG31" s="80">
        <v>3996900</v>
      </c>
      <c r="AI31" s="78"/>
      <c r="AJ31" s="123"/>
      <c r="AK31" s="77"/>
      <c r="AM31" s="78"/>
      <c r="AN31" s="63" t="s">
        <v>87</v>
      </c>
      <c r="AO31" s="77">
        <v>528000</v>
      </c>
      <c r="AW31" s="69"/>
      <c r="AY31" s="78"/>
      <c r="AZ31" s="123" t="s">
        <v>168</v>
      </c>
      <c r="BA31" s="77">
        <v>2700000</v>
      </c>
      <c r="BC31" s="78"/>
      <c r="BD31" s="63" t="s">
        <v>48</v>
      </c>
      <c r="BE31" s="77">
        <v>3938220</v>
      </c>
      <c r="BI31" s="69"/>
      <c r="BM31" s="69"/>
    </row>
    <row r="32" spans="1:69" ht="29" thickBot="1" x14ac:dyDescent="0.35">
      <c r="B32" s="63" t="s">
        <v>193</v>
      </c>
      <c r="C32" s="69">
        <v>46800000</v>
      </c>
      <c r="E32" s="66"/>
      <c r="F32" s="63" t="s">
        <v>37</v>
      </c>
      <c r="G32" s="86">
        <v>31624573.479999997</v>
      </c>
      <c r="L32" s="82"/>
      <c r="M32" s="83" t="s">
        <v>122</v>
      </c>
      <c r="N32" s="80">
        <v>2881125</v>
      </c>
      <c r="O32" s="124"/>
      <c r="P32" s="78" t="s">
        <v>15</v>
      </c>
      <c r="Q32" s="77">
        <v>2860000</v>
      </c>
      <c r="S32" s="78"/>
      <c r="T32" s="123" t="s">
        <v>109</v>
      </c>
      <c r="U32" s="77">
        <v>5418288</v>
      </c>
      <c r="AA32" s="78"/>
      <c r="AB32" s="123" t="s">
        <v>87</v>
      </c>
      <c r="AC32" s="77">
        <v>528000</v>
      </c>
      <c r="AD32" s="124"/>
      <c r="AI32" s="82"/>
      <c r="AJ32" s="83"/>
      <c r="AK32" s="126"/>
      <c r="AM32" s="82"/>
      <c r="AN32" s="83" t="s">
        <v>89</v>
      </c>
      <c r="AO32" s="80">
        <v>450000</v>
      </c>
      <c r="AW32" s="69"/>
      <c r="AY32" s="78"/>
      <c r="AZ32" s="123" t="s">
        <v>33</v>
      </c>
      <c r="BA32" s="77">
        <v>2410754.4</v>
      </c>
      <c r="BC32" s="78"/>
      <c r="BD32" s="63" t="s">
        <v>62</v>
      </c>
      <c r="BE32" s="77">
        <v>2973555</v>
      </c>
      <c r="BM32" s="69"/>
    </row>
    <row r="33" spans="2:65" ht="29" thickBot="1" x14ac:dyDescent="0.35">
      <c r="B33" s="63" t="s">
        <v>171</v>
      </c>
      <c r="C33" s="69">
        <v>44100000</v>
      </c>
      <c r="F33" s="63" t="s">
        <v>38</v>
      </c>
      <c r="G33" s="86">
        <v>31050000</v>
      </c>
      <c r="P33" s="78" t="s">
        <v>163</v>
      </c>
      <c r="Q33" s="77">
        <v>2804490</v>
      </c>
      <c r="S33" s="78"/>
      <c r="T33" s="123" t="s">
        <v>201</v>
      </c>
      <c r="U33" s="77">
        <v>4680000</v>
      </c>
      <c r="AA33" s="82"/>
      <c r="AB33" s="83" t="s">
        <v>89</v>
      </c>
      <c r="AC33" s="80">
        <v>450000</v>
      </c>
      <c r="AD33" s="124"/>
      <c r="AO33" s="69"/>
      <c r="AW33" s="69"/>
      <c r="AY33" s="78"/>
      <c r="AZ33" s="123" t="s">
        <v>163</v>
      </c>
      <c r="BA33" s="77">
        <v>1800000</v>
      </c>
      <c r="BC33" s="78"/>
      <c r="BD33" s="63" t="s">
        <v>59</v>
      </c>
      <c r="BE33" s="77">
        <v>2880000</v>
      </c>
      <c r="BM33" s="69"/>
    </row>
    <row r="34" spans="2:65" x14ac:dyDescent="0.3">
      <c r="B34" s="63" t="s">
        <v>183</v>
      </c>
      <c r="C34" s="69">
        <v>43470000</v>
      </c>
      <c r="F34" s="63" t="s">
        <v>178</v>
      </c>
      <c r="G34" s="86">
        <v>30831360</v>
      </c>
      <c r="P34" s="78" t="s">
        <v>188</v>
      </c>
      <c r="Q34" s="77">
        <v>2765400</v>
      </c>
      <c r="S34" s="78"/>
      <c r="T34" s="123" t="s">
        <v>204</v>
      </c>
      <c r="U34" s="77">
        <v>4617000</v>
      </c>
      <c r="AO34" s="69"/>
      <c r="AW34" s="69"/>
      <c r="AY34" s="78"/>
      <c r="AZ34" s="123" t="s">
        <v>169</v>
      </c>
      <c r="BA34" s="77">
        <v>1800000</v>
      </c>
      <c r="BC34" s="78"/>
      <c r="BD34" s="63" t="s">
        <v>217</v>
      </c>
      <c r="BE34" s="77">
        <v>2800000</v>
      </c>
      <c r="BM34" s="69"/>
    </row>
    <row r="35" spans="2:65" x14ac:dyDescent="0.3">
      <c r="B35" s="63" t="s">
        <v>26</v>
      </c>
      <c r="C35" s="69">
        <v>42151800</v>
      </c>
      <c r="F35" s="63" t="s">
        <v>27</v>
      </c>
      <c r="G35" s="86">
        <v>30000000</v>
      </c>
      <c r="P35" s="78" t="s">
        <v>108</v>
      </c>
      <c r="Q35" s="77">
        <v>2750000</v>
      </c>
      <c r="S35" s="78"/>
      <c r="T35" s="123" t="s">
        <v>50</v>
      </c>
      <c r="U35" s="77">
        <v>4230000</v>
      </c>
      <c r="AO35" s="69"/>
      <c r="AW35" s="69"/>
      <c r="AY35" s="78"/>
      <c r="AZ35" s="123" t="s">
        <v>73</v>
      </c>
      <c r="BA35" s="77">
        <v>1350000</v>
      </c>
      <c r="BC35" s="78"/>
      <c r="BD35" s="63" t="s">
        <v>59</v>
      </c>
      <c r="BE35" s="77">
        <v>2720000</v>
      </c>
    </row>
    <row r="36" spans="2:65" ht="29" thickBot="1" x14ac:dyDescent="0.35">
      <c r="B36" s="63" t="s">
        <v>179</v>
      </c>
      <c r="C36" s="69">
        <v>40140000</v>
      </c>
      <c r="F36" s="63" t="s">
        <v>213</v>
      </c>
      <c r="G36" s="86">
        <v>29537920</v>
      </c>
      <c r="P36" s="78" t="s">
        <v>110</v>
      </c>
      <c r="Q36" s="77">
        <v>2160000</v>
      </c>
      <c r="S36" s="78"/>
      <c r="T36" s="123" t="s">
        <v>20</v>
      </c>
      <c r="U36" s="77">
        <v>4200000</v>
      </c>
      <c r="AO36" s="69"/>
      <c r="AW36" s="69"/>
      <c r="AY36" s="82"/>
      <c r="AZ36" s="83"/>
      <c r="BA36" s="80"/>
      <c r="BC36" s="78"/>
      <c r="BD36" s="63" t="s">
        <v>61</v>
      </c>
      <c r="BE36" s="77">
        <v>2607900</v>
      </c>
    </row>
    <row r="37" spans="2:65" x14ac:dyDescent="0.3">
      <c r="B37" s="63" t="s">
        <v>23</v>
      </c>
      <c r="C37" s="69">
        <v>36724565.200000003</v>
      </c>
      <c r="E37" s="66"/>
      <c r="F37" s="63" t="s">
        <v>186</v>
      </c>
      <c r="G37" s="86">
        <v>29520000</v>
      </c>
      <c r="P37" s="78" t="s">
        <v>44</v>
      </c>
      <c r="Q37" s="77">
        <v>2160000</v>
      </c>
      <c r="S37" s="78"/>
      <c r="T37" s="123" t="s">
        <v>191</v>
      </c>
      <c r="U37" s="77">
        <v>2160000</v>
      </c>
      <c r="AO37" s="69"/>
      <c r="AW37" s="69"/>
      <c r="BA37" s="69"/>
      <c r="BC37" s="78"/>
      <c r="BD37" s="63" t="s">
        <v>42</v>
      </c>
      <c r="BE37" s="77">
        <v>2600000</v>
      </c>
    </row>
    <row r="38" spans="2:65" ht="29" thickBot="1" x14ac:dyDescent="0.35">
      <c r="B38" s="63" t="s">
        <v>173</v>
      </c>
      <c r="C38" s="69">
        <v>36400000</v>
      </c>
      <c r="F38" s="63" t="s">
        <v>190</v>
      </c>
      <c r="G38" s="86">
        <v>28530000</v>
      </c>
      <c r="P38" s="82" t="s">
        <v>82</v>
      </c>
      <c r="Q38" s="80">
        <v>1350000</v>
      </c>
      <c r="S38" s="78"/>
      <c r="T38" s="123" t="s">
        <v>71</v>
      </c>
      <c r="U38" s="77">
        <v>1890000</v>
      </c>
      <c r="AO38" s="69"/>
      <c r="AW38" s="69"/>
      <c r="BA38" s="69"/>
      <c r="BC38" s="78"/>
      <c r="BD38" s="63" t="s">
        <v>65</v>
      </c>
      <c r="BE38" s="77">
        <v>2516085</v>
      </c>
    </row>
    <row r="39" spans="2:65" x14ac:dyDescent="0.3">
      <c r="B39" s="63" t="s">
        <v>184</v>
      </c>
      <c r="C39" s="69">
        <v>33653500</v>
      </c>
      <c r="E39" s="66"/>
      <c r="F39" s="63" t="s">
        <v>184</v>
      </c>
      <c r="G39" s="86">
        <v>25553500</v>
      </c>
      <c r="S39" s="78"/>
      <c r="T39" s="123" t="s">
        <v>110</v>
      </c>
      <c r="U39" s="77">
        <v>1350000</v>
      </c>
      <c r="AO39" s="69"/>
      <c r="AW39" s="69"/>
      <c r="BC39" s="78"/>
      <c r="BD39" s="63" t="s">
        <v>224</v>
      </c>
      <c r="BE39" s="77">
        <v>2000000</v>
      </c>
    </row>
    <row r="40" spans="2:65" x14ac:dyDescent="0.3">
      <c r="B40" s="63" t="s">
        <v>66</v>
      </c>
      <c r="C40" s="69">
        <v>33258420</v>
      </c>
      <c r="E40" s="66"/>
      <c r="F40" s="63" t="s">
        <v>42</v>
      </c>
      <c r="G40" s="86">
        <v>25400000</v>
      </c>
      <c r="S40" s="78"/>
      <c r="T40" s="123" t="s">
        <v>202</v>
      </c>
      <c r="U40" s="77">
        <v>1326042.8999999999</v>
      </c>
      <c r="AW40" s="69"/>
      <c r="BC40" s="78"/>
      <c r="BD40" s="63" t="s">
        <v>225</v>
      </c>
      <c r="BE40" s="77">
        <v>2000000</v>
      </c>
    </row>
    <row r="41" spans="2:65" x14ac:dyDescent="0.3">
      <c r="B41" s="63" t="s">
        <v>53</v>
      </c>
      <c r="C41" s="69">
        <v>32776515.199999999</v>
      </c>
      <c r="E41" s="73"/>
      <c r="F41" s="63" t="s">
        <v>176</v>
      </c>
      <c r="G41" s="86">
        <v>23956000</v>
      </c>
      <c r="S41" s="78"/>
      <c r="T41" s="123" t="s">
        <v>203</v>
      </c>
      <c r="U41" s="77">
        <v>811111.5</v>
      </c>
      <c r="BC41" s="78"/>
      <c r="BD41" s="63" t="s">
        <v>49</v>
      </c>
      <c r="BE41" s="77">
        <v>1790100</v>
      </c>
    </row>
    <row r="42" spans="2:65" ht="29" thickBot="1" x14ac:dyDescent="0.35">
      <c r="B42" s="63" t="s">
        <v>198</v>
      </c>
      <c r="C42" s="69">
        <v>31860000</v>
      </c>
      <c r="F42" s="63" t="s">
        <v>39</v>
      </c>
      <c r="G42" s="86">
        <v>22680000</v>
      </c>
      <c r="S42" s="82"/>
      <c r="T42" s="83"/>
      <c r="U42" s="80"/>
      <c r="AC42" s="123"/>
      <c r="AD42" s="123"/>
      <c r="BC42" s="78"/>
      <c r="BD42" s="63" t="s">
        <v>192</v>
      </c>
      <c r="BE42" s="77">
        <v>1284000</v>
      </c>
    </row>
    <row r="43" spans="2:65" x14ac:dyDescent="0.3">
      <c r="B43" s="63" t="s">
        <v>38</v>
      </c>
      <c r="C43" s="69">
        <v>31050000</v>
      </c>
      <c r="F43" s="63" t="s">
        <v>221</v>
      </c>
      <c r="G43" s="86">
        <v>22407000</v>
      </c>
      <c r="BC43" s="78"/>
      <c r="BD43" s="63" t="s">
        <v>222</v>
      </c>
      <c r="BE43" s="77">
        <v>1275000</v>
      </c>
    </row>
    <row r="44" spans="2:65" x14ac:dyDescent="0.3">
      <c r="B44" s="63" t="s">
        <v>27</v>
      </c>
      <c r="C44" s="69">
        <v>30000000</v>
      </c>
      <c r="E44" s="66"/>
      <c r="F44" s="63" t="s">
        <v>48</v>
      </c>
      <c r="G44" s="86">
        <v>21527530</v>
      </c>
      <c r="Y44" s="69"/>
      <c r="Z44" s="124"/>
      <c r="AA44" s="69"/>
      <c r="AB44" s="69"/>
      <c r="BC44" s="78"/>
      <c r="BD44" s="63" t="s">
        <v>223</v>
      </c>
      <c r="BE44" s="77">
        <v>1224231.9999999998</v>
      </c>
    </row>
    <row r="45" spans="2:65" x14ac:dyDescent="0.3">
      <c r="B45" s="63" t="s">
        <v>213</v>
      </c>
      <c r="C45" s="69">
        <v>29537920</v>
      </c>
      <c r="E45" s="66"/>
      <c r="F45" s="63" t="s">
        <v>170</v>
      </c>
      <c r="G45" s="86">
        <v>20790000</v>
      </c>
      <c r="Y45" s="69"/>
      <c r="Z45" s="124"/>
      <c r="AA45" s="69"/>
      <c r="AB45" s="69"/>
      <c r="BC45" s="78"/>
      <c r="BD45" s="63" t="s">
        <v>167</v>
      </c>
      <c r="BE45" s="77">
        <v>1080000</v>
      </c>
    </row>
    <row r="46" spans="2:65" x14ac:dyDescent="0.3">
      <c r="B46" s="63" t="s">
        <v>186</v>
      </c>
      <c r="C46" s="69">
        <v>29520000</v>
      </c>
      <c r="E46" s="73"/>
      <c r="F46" s="63" t="s">
        <v>171</v>
      </c>
      <c r="G46" s="86">
        <v>20700000</v>
      </c>
      <c r="Y46" s="69"/>
      <c r="Z46" s="124"/>
      <c r="AA46" s="69"/>
      <c r="AB46" s="69"/>
      <c r="BC46" s="78"/>
      <c r="BD46" s="63" t="s">
        <v>218</v>
      </c>
      <c r="BE46" s="77">
        <v>892500</v>
      </c>
    </row>
    <row r="47" spans="2:65" x14ac:dyDescent="0.3">
      <c r="B47" s="63" t="s">
        <v>190</v>
      </c>
      <c r="C47" s="69">
        <v>28530000</v>
      </c>
      <c r="E47" s="66"/>
      <c r="F47" s="63" t="s">
        <v>36</v>
      </c>
      <c r="G47" s="86">
        <v>20000000</v>
      </c>
      <c r="Y47" s="69"/>
      <c r="Z47" s="124"/>
      <c r="AA47" s="69"/>
      <c r="AB47" s="69"/>
      <c r="BC47" s="78"/>
      <c r="BD47" s="63" t="s">
        <v>83</v>
      </c>
      <c r="BE47" s="77">
        <v>720000</v>
      </c>
    </row>
    <row r="48" spans="2:65" x14ac:dyDescent="0.3">
      <c r="B48" s="63" t="s">
        <v>42</v>
      </c>
      <c r="C48" s="69">
        <v>25400000</v>
      </c>
      <c r="E48" s="66"/>
      <c r="F48" s="63" t="s">
        <v>35</v>
      </c>
      <c r="G48" s="86">
        <v>19772000</v>
      </c>
      <c r="Y48" s="69"/>
      <c r="Z48" s="124"/>
      <c r="AA48" s="69"/>
      <c r="AB48" s="69"/>
      <c r="BC48" s="78"/>
      <c r="BD48" s="63" t="s">
        <v>81</v>
      </c>
      <c r="BE48" s="77">
        <v>720000</v>
      </c>
    </row>
    <row r="49" spans="2:61" x14ac:dyDescent="0.3">
      <c r="B49" s="63" t="s">
        <v>194</v>
      </c>
      <c r="C49" s="69">
        <v>24300000</v>
      </c>
      <c r="F49" s="63" t="s">
        <v>187</v>
      </c>
      <c r="G49" s="86">
        <v>19103508</v>
      </c>
      <c r="Y49" s="69"/>
      <c r="Z49" s="124"/>
      <c r="AA49" s="69"/>
      <c r="AB49" s="69"/>
      <c r="BC49" s="78"/>
      <c r="BD49" s="63" t="s">
        <v>72</v>
      </c>
      <c r="BE49" s="77">
        <v>680000</v>
      </c>
    </row>
    <row r="50" spans="2:61" x14ac:dyDescent="0.3">
      <c r="B50" s="63" t="s">
        <v>176</v>
      </c>
      <c r="C50" s="69">
        <v>23956000</v>
      </c>
      <c r="E50" s="66"/>
      <c r="F50" s="63" t="s">
        <v>189</v>
      </c>
      <c r="G50" s="86">
        <v>18900000</v>
      </c>
      <c r="Y50" s="69"/>
      <c r="Z50" s="124"/>
      <c r="AA50" s="69"/>
      <c r="AB50" s="69"/>
      <c r="BC50" s="78"/>
      <c r="BD50" s="63" t="s">
        <v>83</v>
      </c>
      <c r="BE50" s="77">
        <v>630000</v>
      </c>
    </row>
    <row r="51" spans="2:61" x14ac:dyDescent="0.3">
      <c r="B51" s="63" t="s">
        <v>124</v>
      </c>
      <c r="C51" s="69">
        <v>23493060</v>
      </c>
      <c r="F51" s="63" t="s">
        <v>119</v>
      </c>
      <c r="G51" s="86">
        <v>18144000</v>
      </c>
      <c r="Y51" s="69"/>
      <c r="Z51" s="124"/>
      <c r="AA51" s="69"/>
      <c r="AB51" s="69"/>
      <c r="BC51" s="78"/>
      <c r="BD51" s="63" t="s">
        <v>84</v>
      </c>
      <c r="BE51" s="77">
        <v>630000</v>
      </c>
    </row>
    <row r="52" spans="2:61" x14ac:dyDescent="0.3">
      <c r="B52" s="63" t="s">
        <v>39</v>
      </c>
      <c r="C52" s="69">
        <v>22680000</v>
      </c>
      <c r="F52" s="63" t="s">
        <v>43</v>
      </c>
      <c r="G52" s="86">
        <v>17334989.099999998</v>
      </c>
      <c r="Y52" s="69"/>
      <c r="Z52" s="124"/>
      <c r="AA52" s="69"/>
      <c r="AB52" s="69"/>
      <c r="BC52" s="78"/>
      <c r="BD52" s="63" t="s">
        <v>219</v>
      </c>
      <c r="BE52" s="77">
        <v>440000</v>
      </c>
    </row>
    <row r="53" spans="2:61" ht="29" thickBot="1" x14ac:dyDescent="0.35">
      <c r="B53" s="63" t="s">
        <v>221</v>
      </c>
      <c r="C53" s="69">
        <v>22407000</v>
      </c>
      <c r="F53" s="63" t="s">
        <v>41</v>
      </c>
      <c r="G53" s="86">
        <v>17010000</v>
      </c>
      <c r="BC53" s="82"/>
      <c r="BD53" s="83" t="s">
        <v>211</v>
      </c>
      <c r="BE53" s="80">
        <v>200000</v>
      </c>
    </row>
    <row r="54" spans="2:61" x14ac:dyDescent="0.3">
      <c r="B54" s="63" t="s">
        <v>48</v>
      </c>
      <c r="C54" s="69">
        <v>21527530</v>
      </c>
      <c r="E54" s="66"/>
      <c r="F54" s="63" t="s">
        <v>111</v>
      </c>
      <c r="G54" s="86">
        <v>16245700</v>
      </c>
      <c r="BE54" s="69"/>
    </row>
    <row r="55" spans="2:61" x14ac:dyDescent="0.3">
      <c r="B55" s="63" t="s">
        <v>170</v>
      </c>
      <c r="C55" s="69">
        <v>20790000</v>
      </c>
      <c r="E55" s="66"/>
      <c r="F55" s="63" t="s">
        <v>107</v>
      </c>
      <c r="G55" s="86">
        <v>16200000</v>
      </c>
      <c r="BE55" s="69"/>
    </row>
    <row r="56" spans="2:61" x14ac:dyDescent="0.3">
      <c r="B56" s="63" t="s">
        <v>36</v>
      </c>
      <c r="C56" s="69">
        <v>20000000</v>
      </c>
      <c r="F56" s="63" t="s">
        <v>57</v>
      </c>
      <c r="G56" s="86">
        <v>16200000</v>
      </c>
      <c r="BE56" s="69"/>
    </row>
    <row r="57" spans="2:61" x14ac:dyDescent="0.3">
      <c r="B57" s="63" t="s">
        <v>35</v>
      </c>
      <c r="C57" s="69">
        <v>19772000</v>
      </c>
      <c r="E57" s="66"/>
      <c r="F57" s="63" t="s">
        <v>29</v>
      </c>
      <c r="G57" s="86">
        <v>16130075.400000002</v>
      </c>
      <c r="BE57" s="69"/>
    </row>
    <row r="58" spans="2:61" x14ac:dyDescent="0.3">
      <c r="B58" s="63" t="s">
        <v>189</v>
      </c>
      <c r="C58" s="69">
        <v>18900000</v>
      </c>
      <c r="F58" s="63" t="s">
        <v>45</v>
      </c>
      <c r="G58" s="86">
        <v>16038000</v>
      </c>
      <c r="BE58" s="69"/>
    </row>
    <row r="59" spans="2:61" x14ac:dyDescent="0.3">
      <c r="B59" s="63" t="s">
        <v>119</v>
      </c>
      <c r="C59" s="69">
        <v>18144000</v>
      </c>
      <c r="E59" s="66"/>
      <c r="F59" s="63" t="s">
        <v>25</v>
      </c>
      <c r="G59" s="86">
        <v>15912000</v>
      </c>
      <c r="BE59" s="69"/>
    </row>
    <row r="60" spans="2:61" x14ac:dyDescent="0.3">
      <c r="B60" s="63" t="s">
        <v>43</v>
      </c>
      <c r="C60" s="69">
        <v>17334989.099999998</v>
      </c>
      <c r="F60" s="63" t="s">
        <v>185</v>
      </c>
      <c r="G60" s="86">
        <v>15480000</v>
      </c>
      <c r="BE60" s="69"/>
    </row>
    <row r="61" spans="2:61" x14ac:dyDescent="0.3">
      <c r="B61" s="63" t="s">
        <v>41</v>
      </c>
      <c r="C61" s="69">
        <v>17010000</v>
      </c>
      <c r="F61" s="63" t="s">
        <v>200</v>
      </c>
      <c r="G61" s="86">
        <v>15200000</v>
      </c>
      <c r="BE61" s="69"/>
    </row>
    <row r="62" spans="2:61" x14ac:dyDescent="0.3">
      <c r="B62" s="63" t="s">
        <v>197</v>
      </c>
      <c r="C62" s="69">
        <v>16650000</v>
      </c>
      <c r="E62" s="66"/>
      <c r="F62" s="63" t="s">
        <v>33</v>
      </c>
      <c r="G62" s="86">
        <v>14916976.199999999</v>
      </c>
      <c r="BE62" s="69"/>
      <c r="BI62" s="69"/>
    </row>
    <row r="63" spans="2:61" x14ac:dyDescent="0.3">
      <c r="B63" s="63" t="s">
        <v>111</v>
      </c>
      <c r="C63" s="69">
        <v>16245700</v>
      </c>
      <c r="E63" s="66"/>
      <c r="F63" s="63" t="s">
        <v>183</v>
      </c>
      <c r="G63" s="86">
        <v>13230000</v>
      </c>
      <c r="BE63" s="69"/>
      <c r="BI63" s="69"/>
    </row>
    <row r="64" spans="2:61" x14ac:dyDescent="0.3">
      <c r="B64" s="63" t="s">
        <v>107</v>
      </c>
      <c r="C64" s="69">
        <v>16200000</v>
      </c>
      <c r="F64" s="63" t="s">
        <v>61</v>
      </c>
      <c r="G64" s="86">
        <v>12965100</v>
      </c>
      <c r="BE64" s="69"/>
      <c r="BI64" s="69"/>
    </row>
    <row r="65" spans="2:61" x14ac:dyDescent="0.3">
      <c r="B65" s="63" t="s">
        <v>57</v>
      </c>
      <c r="C65" s="69">
        <v>16200000</v>
      </c>
      <c r="F65" s="63" t="s">
        <v>158</v>
      </c>
      <c r="G65" s="86">
        <v>12630000</v>
      </c>
      <c r="BE65" s="69"/>
      <c r="BI65" s="69"/>
    </row>
    <row r="66" spans="2:61" x14ac:dyDescent="0.3">
      <c r="B66" s="63" t="s">
        <v>29</v>
      </c>
      <c r="C66" s="69">
        <v>16130075.400000002</v>
      </c>
      <c r="F66" s="63" t="s">
        <v>52</v>
      </c>
      <c r="G66" s="86">
        <v>11880000</v>
      </c>
      <c r="BE66" s="69"/>
      <c r="BI66" s="69"/>
    </row>
    <row r="67" spans="2:61" x14ac:dyDescent="0.3">
      <c r="B67" s="63" t="s">
        <v>45</v>
      </c>
      <c r="C67" s="69">
        <v>16038000</v>
      </c>
      <c r="F67" s="63" t="s">
        <v>109</v>
      </c>
      <c r="G67" s="86">
        <v>11757291.300000001</v>
      </c>
      <c r="BE67" s="69"/>
      <c r="BI67" s="69"/>
    </row>
    <row r="68" spans="2:61" x14ac:dyDescent="0.3">
      <c r="B68" s="63" t="s">
        <v>25</v>
      </c>
      <c r="C68" s="69">
        <v>15912000</v>
      </c>
      <c r="F68" s="63" t="s">
        <v>44</v>
      </c>
      <c r="G68" s="86">
        <v>11610000</v>
      </c>
      <c r="BE68" s="69"/>
      <c r="BI68" s="69"/>
    </row>
    <row r="69" spans="2:61" x14ac:dyDescent="0.3">
      <c r="B69" s="63" t="s">
        <v>185</v>
      </c>
      <c r="C69" s="69">
        <v>15480000</v>
      </c>
      <c r="E69" s="66"/>
      <c r="F69" s="63" t="s">
        <v>40</v>
      </c>
      <c r="G69" s="86">
        <v>10980000</v>
      </c>
      <c r="BE69" s="69"/>
      <c r="BI69" s="69"/>
    </row>
    <row r="70" spans="2:61" x14ac:dyDescent="0.3">
      <c r="B70" s="63" t="s">
        <v>200</v>
      </c>
      <c r="C70" s="69">
        <v>15200000</v>
      </c>
      <c r="E70" s="66"/>
      <c r="F70" s="63" t="s">
        <v>182</v>
      </c>
      <c r="G70" s="86">
        <v>10800000</v>
      </c>
      <c r="BI70" s="69"/>
    </row>
    <row r="71" spans="2:61" x14ac:dyDescent="0.3">
      <c r="B71" s="63" t="s">
        <v>33</v>
      </c>
      <c r="C71" s="69">
        <v>14916976.199999999</v>
      </c>
      <c r="E71" s="66"/>
      <c r="F71" s="63" t="s">
        <v>56</v>
      </c>
      <c r="G71" s="86">
        <v>10440662.399999999</v>
      </c>
      <c r="BI71" s="69"/>
    </row>
    <row r="72" spans="2:61" x14ac:dyDescent="0.3">
      <c r="B72" s="63" t="s">
        <v>61</v>
      </c>
      <c r="C72" s="69">
        <v>12965100</v>
      </c>
      <c r="E72" s="73"/>
      <c r="F72" s="63" t="s">
        <v>220</v>
      </c>
      <c r="G72" s="86">
        <v>10000000</v>
      </c>
      <c r="BI72" s="69"/>
    </row>
    <row r="73" spans="2:61" x14ac:dyDescent="0.3">
      <c r="B73" s="63" t="s">
        <v>158</v>
      </c>
      <c r="C73" s="69">
        <v>12630000</v>
      </c>
      <c r="E73" s="66"/>
      <c r="F73" s="63" t="s">
        <v>168</v>
      </c>
      <c r="G73" s="86">
        <v>9540000</v>
      </c>
      <c r="BI73" s="69"/>
    </row>
    <row r="74" spans="2:61" x14ac:dyDescent="0.3">
      <c r="B74" s="63" t="s">
        <v>52</v>
      </c>
      <c r="C74" s="69">
        <v>11880000</v>
      </c>
      <c r="F74" s="63" t="s">
        <v>62</v>
      </c>
      <c r="G74" s="86">
        <v>8691930</v>
      </c>
      <c r="BI74" s="69"/>
    </row>
    <row r="75" spans="2:61" x14ac:dyDescent="0.3">
      <c r="B75" s="63" t="s">
        <v>109</v>
      </c>
      <c r="C75" s="69">
        <v>11757291.300000001</v>
      </c>
      <c r="E75" s="66"/>
      <c r="F75" s="63" t="s">
        <v>166</v>
      </c>
      <c r="G75" s="86">
        <v>8640000</v>
      </c>
      <c r="BI75" s="69"/>
    </row>
    <row r="76" spans="2:61" x14ac:dyDescent="0.3">
      <c r="B76" s="63" t="s">
        <v>30</v>
      </c>
      <c r="C76" s="69">
        <v>11700000</v>
      </c>
      <c r="F76" s="63" t="s">
        <v>165</v>
      </c>
      <c r="G76" s="86">
        <v>8500000</v>
      </c>
      <c r="BI76" s="69"/>
    </row>
    <row r="77" spans="2:61" x14ac:dyDescent="0.3">
      <c r="B77" s="63" t="s">
        <v>44</v>
      </c>
      <c r="C77" s="69">
        <v>11610000</v>
      </c>
      <c r="E77" s="66"/>
      <c r="F77" s="63" t="s">
        <v>80</v>
      </c>
      <c r="G77" s="86">
        <v>8144388</v>
      </c>
      <c r="BI77" s="69"/>
    </row>
    <row r="78" spans="2:61" x14ac:dyDescent="0.3">
      <c r="B78" s="63" t="s">
        <v>192</v>
      </c>
      <c r="C78" s="69">
        <v>11484000</v>
      </c>
      <c r="F78" s="63" t="s">
        <v>122</v>
      </c>
      <c r="G78" s="86">
        <v>7560000</v>
      </c>
      <c r="BI78" s="69"/>
    </row>
    <row r="79" spans="2:61" x14ac:dyDescent="0.3">
      <c r="B79" s="63" t="s">
        <v>31</v>
      </c>
      <c r="C79" s="69">
        <v>11259000</v>
      </c>
      <c r="F79" s="63" t="s">
        <v>65</v>
      </c>
      <c r="G79" s="86">
        <v>7548255</v>
      </c>
      <c r="BI79" s="69"/>
    </row>
    <row r="80" spans="2:61" x14ac:dyDescent="0.3">
      <c r="B80" s="63" t="s">
        <v>40</v>
      </c>
      <c r="C80" s="69">
        <v>10980000</v>
      </c>
      <c r="E80" s="66"/>
      <c r="F80" s="63" t="s">
        <v>181</v>
      </c>
      <c r="G80" s="86">
        <v>7408800</v>
      </c>
      <c r="BI80" s="69"/>
    </row>
    <row r="81" spans="2:61" x14ac:dyDescent="0.3">
      <c r="B81" s="63" t="s">
        <v>34</v>
      </c>
      <c r="C81" s="69">
        <v>10935000</v>
      </c>
      <c r="F81" s="63" t="s">
        <v>49</v>
      </c>
      <c r="G81" s="86">
        <v>7390100</v>
      </c>
      <c r="BI81" s="69"/>
    </row>
    <row r="82" spans="2:61" x14ac:dyDescent="0.3">
      <c r="B82" s="63" t="s">
        <v>182</v>
      </c>
      <c r="C82" s="69">
        <v>10800000</v>
      </c>
      <c r="F82" s="63" t="s">
        <v>67</v>
      </c>
      <c r="G82" s="86">
        <v>7236000</v>
      </c>
      <c r="BI82" s="69"/>
    </row>
    <row r="83" spans="2:61" x14ac:dyDescent="0.3">
      <c r="B83" s="63" t="s">
        <v>122</v>
      </c>
      <c r="C83" s="69">
        <v>10441125</v>
      </c>
      <c r="F83" s="63" t="s">
        <v>116</v>
      </c>
      <c r="G83" s="86">
        <v>7200000</v>
      </c>
      <c r="BI83" s="69"/>
    </row>
    <row r="84" spans="2:61" x14ac:dyDescent="0.3">
      <c r="B84" s="63" t="s">
        <v>56</v>
      </c>
      <c r="C84" s="69">
        <v>10440662.399999999</v>
      </c>
      <c r="F84" s="63" t="s">
        <v>191</v>
      </c>
      <c r="G84" s="86">
        <v>7160195</v>
      </c>
    </row>
    <row r="85" spans="2:61" x14ac:dyDescent="0.3">
      <c r="B85" s="63" t="s">
        <v>220</v>
      </c>
      <c r="C85" s="69">
        <v>10000000</v>
      </c>
      <c r="E85" s="66"/>
      <c r="F85" s="63" t="s">
        <v>55</v>
      </c>
      <c r="G85" s="86">
        <v>7074000</v>
      </c>
    </row>
    <row r="86" spans="2:61" x14ac:dyDescent="0.3">
      <c r="B86" s="63" t="s">
        <v>168</v>
      </c>
      <c r="C86" s="69">
        <v>9540000</v>
      </c>
      <c r="F86" s="63" t="s">
        <v>70</v>
      </c>
      <c r="G86" s="86">
        <v>6000000</v>
      </c>
    </row>
    <row r="87" spans="2:61" x14ac:dyDescent="0.3">
      <c r="B87" s="63" t="s">
        <v>79</v>
      </c>
      <c r="C87" s="69">
        <v>9181400</v>
      </c>
      <c r="F87" s="63" t="s">
        <v>58</v>
      </c>
      <c r="G87" s="86">
        <v>5800000</v>
      </c>
    </row>
    <row r="88" spans="2:61" x14ac:dyDescent="0.3">
      <c r="B88" s="63" t="s">
        <v>62</v>
      </c>
      <c r="C88" s="69">
        <v>8691930</v>
      </c>
      <c r="E88" s="66"/>
      <c r="F88" s="63" t="s">
        <v>60</v>
      </c>
      <c r="G88" s="86">
        <v>5760000</v>
      </c>
    </row>
    <row r="89" spans="2:61" x14ac:dyDescent="0.3">
      <c r="B89" s="63" t="s">
        <v>166</v>
      </c>
      <c r="C89" s="69">
        <v>8640000</v>
      </c>
      <c r="E89" s="73"/>
      <c r="F89" s="63" t="s">
        <v>59</v>
      </c>
      <c r="G89" s="86">
        <v>5600000</v>
      </c>
    </row>
    <row r="90" spans="2:61" x14ac:dyDescent="0.3">
      <c r="B90" s="63" t="s">
        <v>165</v>
      </c>
      <c r="C90" s="69">
        <v>8500000</v>
      </c>
      <c r="E90" s="66"/>
      <c r="F90" s="63" t="s">
        <v>167</v>
      </c>
      <c r="G90" s="86">
        <v>5400000</v>
      </c>
    </row>
    <row r="91" spans="2:61" x14ac:dyDescent="0.3">
      <c r="B91" s="63" t="s">
        <v>80</v>
      </c>
      <c r="C91" s="69">
        <v>8144388</v>
      </c>
      <c r="F91" s="63" t="s">
        <v>64</v>
      </c>
      <c r="G91" s="86">
        <v>5280000</v>
      </c>
    </row>
    <row r="92" spans="2:61" x14ac:dyDescent="0.3">
      <c r="B92" s="63" t="s">
        <v>65</v>
      </c>
      <c r="C92" s="69">
        <v>7548255</v>
      </c>
      <c r="F92" s="63" t="s">
        <v>179</v>
      </c>
      <c r="G92" s="86">
        <v>5040000</v>
      </c>
    </row>
    <row r="93" spans="2:61" x14ac:dyDescent="0.3">
      <c r="B93" s="63" t="s">
        <v>181</v>
      </c>
      <c r="C93" s="69">
        <v>7408800</v>
      </c>
      <c r="F93" s="63" t="s">
        <v>180</v>
      </c>
      <c r="G93" s="86">
        <v>4950000</v>
      </c>
    </row>
    <row r="94" spans="2:61" x14ac:dyDescent="0.3">
      <c r="B94" s="63" t="s">
        <v>49</v>
      </c>
      <c r="C94" s="69">
        <v>7390100</v>
      </c>
      <c r="E94" s="73"/>
      <c r="F94" s="63" t="s">
        <v>201</v>
      </c>
      <c r="G94" s="86">
        <v>4680000</v>
      </c>
    </row>
    <row r="95" spans="2:61" x14ac:dyDescent="0.3">
      <c r="B95" s="63" t="s">
        <v>67</v>
      </c>
      <c r="C95" s="69">
        <v>7236000</v>
      </c>
      <c r="F95" s="63" t="s">
        <v>204</v>
      </c>
      <c r="G95" s="86">
        <v>4617000</v>
      </c>
    </row>
    <row r="96" spans="2:61" x14ac:dyDescent="0.3">
      <c r="B96" s="63" t="s">
        <v>116</v>
      </c>
      <c r="C96" s="69">
        <v>7200000</v>
      </c>
      <c r="E96" s="73"/>
      <c r="F96" s="63" t="s">
        <v>50</v>
      </c>
      <c r="G96" s="86">
        <v>4230000</v>
      </c>
    </row>
    <row r="97" spans="2:7" x14ac:dyDescent="0.3">
      <c r="B97" s="63" t="s">
        <v>191</v>
      </c>
      <c r="C97" s="69">
        <v>7160195</v>
      </c>
      <c r="E97" s="73"/>
      <c r="F97" s="63" t="s">
        <v>72</v>
      </c>
      <c r="G97" s="86">
        <v>4120000</v>
      </c>
    </row>
    <row r="98" spans="2:7" x14ac:dyDescent="0.3">
      <c r="B98" s="63" t="s">
        <v>55</v>
      </c>
      <c r="C98" s="69">
        <v>7074000</v>
      </c>
      <c r="E98" s="73"/>
      <c r="F98" s="63" t="s">
        <v>123</v>
      </c>
      <c r="G98" s="86">
        <v>4050000</v>
      </c>
    </row>
    <row r="99" spans="2:7" x14ac:dyDescent="0.3">
      <c r="B99" s="63" t="s">
        <v>70</v>
      </c>
      <c r="C99" s="69">
        <v>6000000</v>
      </c>
      <c r="E99" s="73"/>
      <c r="F99" s="63" t="s">
        <v>51</v>
      </c>
      <c r="G99" s="86">
        <v>4050000</v>
      </c>
    </row>
    <row r="100" spans="2:7" x14ac:dyDescent="0.3">
      <c r="B100" s="63" t="s">
        <v>58</v>
      </c>
      <c r="C100" s="69">
        <v>5800000</v>
      </c>
      <c r="E100" s="73"/>
      <c r="F100" s="63" t="s">
        <v>148</v>
      </c>
      <c r="G100" s="86">
        <v>4000000</v>
      </c>
    </row>
    <row r="101" spans="2:7" x14ac:dyDescent="0.3">
      <c r="B101" s="63" t="s">
        <v>60</v>
      </c>
      <c r="C101" s="69">
        <v>5760000</v>
      </c>
      <c r="E101" s="73"/>
      <c r="F101" s="63" t="s">
        <v>216</v>
      </c>
      <c r="G101" s="86">
        <v>3978000</v>
      </c>
    </row>
    <row r="102" spans="2:7" x14ac:dyDescent="0.3">
      <c r="B102" s="63" t="s">
        <v>59</v>
      </c>
      <c r="C102" s="69">
        <v>5600000</v>
      </c>
      <c r="E102" s="73"/>
      <c r="F102" s="63" t="s">
        <v>117</v>
      </c>
      <c r="G102" s="86">
        <v>3600000</v>
      </c>
    </row>
    <row r="103" spans="2:7" x14ac:dyDescent="0.3">
      <c r="B103" s="63" t="s">
        <v>167</v>
      </c>
      <c r="C103" s="69">
        <v>5400000</v>
      </c>
      <c r="E103" s="73"/>
      <c r="F103" s="63" t="s">
        <v>54</v>
      </c>
      <c r="G103" s="86">
        <v>3600000</v>
      </c>
    </row>
    <row r="104" spans="2:7" x14ac:dyDescent="0.3">
      <c r="B104" s="63" t="s">
        <v>64</v>
      </c>
      <c r="C104" s="69">
        <v>5280000</v>
      </c>
      <c r="E104" s="73"/>
      <c r="F104" s="63" t="s">
        <v>110</v>
      </c>
      <c r="G104" s="86">
        <v>3510000</v>
      </c>
    </row>
    <row r="105" spans="2:7" x14ac:dyDescent="0.3">
      <c r="B105" s="63" t="s">
        <v>180</v>
      </c>
      <c r="C105" s="69">
        <v>4950000</v>
      </c>
      <c r="E105" s="73"/>
      <c r="F105" s="63" t="s">
        <v>121</v>
      </c>
      <c r="G105" s="86">
        <v>3151417.5</v>
      </c>
    </row>
    <row r="106" spans="2:7" x14ac:dyDescent="0.3">
      <c r="B106" s="63" t="s">
        <v>201</v>
      </c>
      <c r="C106" s="69">
        <v>4680000</v>
      </c>
      <c r="E106" s="66"/>
      <c r="F106" s="63" t="s">
        <v>120</v>
      </c>
      <c r="G106" s="86">
        <v>3150000</v>
      </c>
    </row>
    <row r="107" spans="2:7" x14ac:dyDescent="0.3">
      <c r="B107" s="63" t="s">
        <v>204</v>
      </c>
      <c r="C107" s="69">
        <v>4617000</v>
      </c>
      <c r="E107" s="66"/>
      <c r="F107" s="63" t="s">
        <v>124</v>
      </c>
      <c r="G107" s="86">
        <v>2973060</v>
      </c>
    </row>
    <row r="108" spans="2:7" x14ac:dyDescent="0.3">
      <c r="B108" s="63" t="s">
        <v>50</v>
      </c>
      <c r="C108" s="69">
        <v>4230000</v>
      </c>
      <c r="E108" s="66"/>
      <c r="F108" s="63" t="s">
        <v>205</v>
      </c>
      <c r="G108" s="86">
        <v>2880000</v>
      </c>
    </row>
    <row r="109" spans="2:7" x14ac:dyDescent="0.3">
      <c r="B109" s="63" t="s">
        <v>72</v>
      </c>
      <c r="C109" s="69">
        <v>4120000</v>
      </c>
      <c r="E109" s="66"/>
      <c r="F109" s="63" t="s">
        <v>217</v>
      </c>
      <c r="G109" s="86">
        <v>2800000</v>
      </c>
    </row>
    <row r="110" spans="2:7" x14ac:dyDescent="0.3">
      <c r="B110" s="63" t="s">
        <v>123</v>
      </c>
      <c r="C110" s="69">
        <v>4050000</v>
      </c>
      <c r="E110" s="66"/>
      <c r="F110" s="63" t="s">
        <v>188</v>
      </c>
      <c r="G110" s="86">
        <v>2765400</v>
      </c>
    </row>
    <row r="111" spans="2:7" x14ac:dyDescent="0.3">
      <c r="B111" s="63" t="s">
        <v>51</v>
      </c>
      <c r="C111" s="69">
        <v>4050000</v>
      </c>
      <c r="E111" s="66"/>
      <c r="F111" s="63" t="s">
        <v>108</v>
      </c>
      <c r="G111" s="86">
        <v>2750000</v>
      </c>
    </row>
    <row r="112" spans="2:7" x14ac:dyDescent="0.3">
      <c r="B112" s="63" t="s">
        <v>148</v>
      </c>
      <c r="C112" s="69">
        <v>4000000</v>
      </c>
      <c r="E112" s="66"/>
      <c r="F112" s="63" t="s">
        <v>63</v>
      </c>
      <c r="G112" s="86">
        <v>2700000</v>
      </c>
    </row>
    <row r="113" spans="2:7" x14ac:dyDescent="0.3">
      <c r="B113" s="63" t="s">
        <v>216</v>
      </c>
      <c r="C113" s="69">
        <v>3978000</v>
      </c>
      <c r="E113" s="66"/>
      <c r="F113" s="63" t="s">
        <v>159</v>
      </c>
      <c r="G113" s="86">
        <v>2461538.4</v>
      </c>
    </row>
    <row r="114" spans="2:7" x14ac:dyDescent="0.3">
      <c r="B114" s="63" t="s">
        <v>117</v>
      </c>
      <c r="C114" s="69">
        <v>3600000</v>
      </c>
      <c r="E114" s="66"/>
      <c r="F114" s="63" t="s">
        <v>75</v>
      </c>
      <c r="G114" s="86">
        <v>2461538.4</v>
      </c>
    </row>
    <row r="115" spans="2:7" x14ac:dyDescent="0.3">
      <c r="B115" s="63" t="s">
        <v>54</v>
      </c>
      <c r="C115" s="69">
        <v>3600000</v>
      </c>
      <c r="E115" s="66"/>
      <c r="F115" s="63" t="s">
        <v>76</v>
      </c>
      <c r="G115" s="86">
        <v>2461538.4</v>
      </c>
    </row>
    <row r="116" spans="2:7" x14ac:dyDescent="0.3">
      <c r="B116" s="63" t="s">
        <v>110</v>
      </c>
      <c r="C116" s="69">
        <v>3510000</v>
      </c>
      <c r="E116" s="66"/>
      <c r="F116" s="63" t="s">
        <v>68</v>
      </c>
      <c r="G116" s="86">
        <v>2408000</v>
      </c>
    </row>
    <row r="117" spans="2:7" x14ac:dyDescent="0.3">
      <c r="B117" s="63" t="s">
        <v>195</v>
      </c>
      <c r="C117" s="69">
        <v>3240000</v>
      </c>
      <c r="E117" s="66"/>
      <c r="F117" s="63" t="s">
        <v>85</v>
      </c>
      <c r="G117" s="86">
        <v>2400000</v>
      </c>
    </row>
    <row r="118" spans="2:7" x14ac:dyDescent="0.3">
      <c r="B118" s="63" t="s">
        <v>121</v>
      </c>
      <c r="C118" s="69">
        <v>3151417.5</v>
      </c>
      <c r="E118" s="66"/>
      <c r="F118" s="63" t="s">
        <v>79</v>
      </c>
      <c r="G118" s="86">
        <v>2296400</v>
      </c>
    </row>
    <row r="119" spans="2:7" x14ac:dyDescent="0.3">
      <c r="B119" s="63" t="s">
        <v>120</v>
      </c>
      <c r="C119" s="69">
        <v>3150000</v>
      </c>
      <c r="E119" s="66"/>
      <c r="F119" s="63" t="s">
        <v>224</v>
      </c>
      <c r="G119" s="86">
        <v>2000000</v>
      </c>
    </row>
    <row r="120" spans="2:7" x14ac:dyDescent="0.3">
      <c r="B120" s="63" t="s">
        <v>205</v>
      </c>
      <c r="C120" s="69">
        <v>2880000</v>
      </c>
      <c r="E120" s="66"/>
      <c r="F120" s="63" t="s">
        <v>225</v>
      </c>
      <c r="G120" s="86">
        <v>2000000</v>
      </c>
    </row>
    <row r="121" spans="2:7" x14ac:dyDescent="0.3">
      <c r="B121" s="63" t="s">
        <v>217</v>
      </c>
      <c r="C121" s="69">
        <v>2800000</v>
      </c>
      <c r="E121" s="66"/>
      <c r="F121" s="63" t="s">
        <v>112</v>
      </c>
      <c r="G121" s="86">
        <v>1961506.8</v>
      </c>
    </row>
    <row r="122" spans="2:7" x14ac:dyDescent="0.3">
      <c r="B122" s="63" t="s">
        <v>188</v>
      </c>
      <c r="C122" s="69">
        <v>2765400</v>
      </c>
      <c r="E122" s="66"/>
      <c r="F122" s="63" t="s">
        <v>71</v>
      </c>
      <c r="G122" s="86">
        <v>1890000</v>
      </c>
    </row>
    <row r="123" spans="2:7" x14ac:dyDescent="0.3">
      <c r="B123" s="63" t="s">
        <v>108</v>
      </c>
      <c r="C123" s="69">
        <v>2750000</v>
      </c>
      <c r="E123" s="66"/>
      <c r="F123" s="63" t="s">
        <v>169</v>
      </c>
      <c r="G123" s="86">
        <v>1800000</v>
      </c>
    </row>
    <row r="124" spans="2:7" x14ac:dyDescent="0.3">
      <c r="B124" s="63" t="s">
        <v>63</v>
      </c>
      <c r="C124" s="69">
        <v>2700000</v>
      </c>
      <c r="E124" s="66"/>
      <c r="F124" s="63" t="s">
        <v>161</v>
      </c>
      <c r="G124" s="86">
        <v>1720000</v>
      </c>
    </row>
    <row r="125" spans="2:7" x14ac:dyDescent="0.3">
      <c r="B125" s="63" t="s">
        <v>159</v>
      </c>
      <c r="C125" s="69">
        <v>2461538.4</v>
      </c>
      <c r="E125" s="66"/>
      <c r="F125" s="63" t="s">
        <v>86</v>
      </c>
      <c r="G125" s="86">
        <v>1707750</v>
      </c>
    </row>
    <row r="126" spans="2:7" x14ac:dyDescent="0.3">
      <c r="B126" s="63" t="s">
        <v>75</v>
      </c>
      <c r="C126" s="69">
        <v>2461538.4</v>
      </c>
      <c r="E126" s="66"/>
      <c r="F126" s="63" t="s">
        <v>114</v>
      </c>
      <c r="G126" s="86">
        <v>1695964</v>
      </c>
    </row>
    <row r="127" spans="2:7" x14ac:dyDescent="0.3">
      <c r="B127" s="63" t="s">
        <v>76</v>
      </c>
      <c r="C127" s="69">
        <v>2461538.4</v>
      </c>
      <c r="E127" s="66"/>
      <c r="F127" s="63" t="s">
        <v>214</v>
      </c>
      <c r="G127" s="86">
        <v>1695684.44</v>
      </c>
    </row>
    <row r="128" spans="2:7" x14ac:dyDescent="0.3">
      <c r="B128" s="63" t="s">
        <v>68</v>
      </c>
      <c r="C128" s="69">
        <v>2408000</v>
      </c>
      <c r="E128" s="66"/>
      <c r="F128" s="63" t="s">
        <v>215</v>
      </c>
      <c r="G128" s="86">
        <v>1600000</v>
      </c>
    </row>
    <row r="129" spans="2:7" x14ac:dyDescent="0.3">
      <c r="B129" s="63" t="s">
        <v>85</v>
      </c>
      <c r="C129" s="69">
        <v>2400000</v>
      </c>
      <c r="E129" s="66"/>
      <c r="F129" s="63" t="s">
        <v>78</v>
      </c>
      <c r="G129" s="86">
        <v>1547521.5676404492</v>
      </c>
    </row>
    <row r="130" spans="2:7" x14ac:dyDescent="0.3">
      <c r="B130" s="63" t="s">
        <v>224</v>
      </c>
      <c r="C130" s="69">
        <v>2000000</v>
      </c>
      <c r="F130" s="63" t="s">
        <v>83</v>
      </c>
      <c r="G130" s="86">
        <v>1350000</v>
      </c>
    </row>
    <row r="131" spans="2:7" x14ac:dyDescent="0.3">
      <c r="B131" s="63" t="s">
        <v>225</v>
      </c>
      <c r="C131" s="69">
        <v>2000000</v>
      </c>
      <c r="F131" s="63" t="s">
        <v>82</v>
      </c>
      <c r="G131" s="86">
        <v>1350000</v>
      </c>
    </row>
    <row r="132" spans="2:7" x14ac:dyDescent="0.3">
      <c r="B132" s="63" t="s">
        <v>112</v>
      </c>
      <c r="C132" s="69">
        <v>1961506.8</v>
      </c>
      <c r="F132" s="63" t="s">
        <v>73</v>
      </c>
      <c r="G132" s="86">
        <v>1350000</v>
      </c>
    </row>
    <row r="133" spans="2:7" x14ac:dyDescent="0.3">
      <c r="B133" s="63" t="s">
        <v>71</v>
      </c>
      <c r="C133" s="69">
        <v>1890000</v>
      </c>
      <c r="F133" s="63" t="s">
        <v>207</v>
      </c>
      <c r="G133" s="86">
        <v>1350000</v>
      </c>
    </row>
    <row r="134" spans="2:7" x14ac:dyDescent="0.3">
      <c r="B134" s="63" t="s">
        <v>169</v>
      </c>
      <c r="C134" s="69">
        <v>1800000</v>
      </c>
      <c r="F134" s="63" t="s">
        <v>202</v>
      </c>
      <c r="G134" s="86">
        <v>1326042.8999999999</v>
      </c>
    </row>
    <row r="135" spans="2:7" x14ac:dyDescent="0.3">
      <c r="B135" s="63" t="s">
        <v>161</v>
      </c>
      <c r="C135" s="69">
        <v>1720000</v>
      </c>
      <c r="F135" s="63" t="s">
        <v>192</v>
      </c>
      <c r="G135" s="86">
        <v>1284000</v>
      </c>
    </row>
    <row r="136" spans="2:7" x14ac:dyDescent="0.3">
      <c r="B136" s="63" t="s">
        <v>86</v>
      </c>
      <c r="C136" s="69">
        <v>1707750</v>
      </c>
      <c r="F136" s="63" t="s">
        <v>222</v>
      </c>
      <c r="G136" s="86">
        <v>1275000</v>
      </c>
    </row>
    <row r="137" spans="2:7" x14ac:dyDescent="0.3">
      <c r="B137" s="63" t="s">
        <v>114</v>
      </c>
      <c r="C137" s="69">
        <v>1695964</v>
      </c>
      <c r="F137" s="63" t="s">
        <v>223</v>
      </c>
      <c r="G137" s="86">
        <v>1224231.9999999998</v>
      </c>
    </row>
    <row r="138" spans="2:7" x14ac:dyDescent="0.3">
      <c r="B138" s="63" t="s">
        <v>214</v>
      </c>
      <c r="C138" s="69">
        <v>1695684.44</v>
      </c>
      <c r="F138" s="63" t="s">
        <v>210</v>
      </c>
      <c r="G138" s="86">
        <v>1200000</v>
      </c>
    </row>
    <row r="139" spans="2:7" x14ac:dyDescent="0.3">
      <c r="B139" s="63" t="s">
        <v>215</v>
      </c>
      <c r="C139" s="69">
        <v>1600000</v>
      </c>
      <c r="F139" s="63" t="s">
        <v>208</v>
      </c>
      <c r="G139" s="86">
        <v>1150000</v>
      </c>
    </row>
    <row r="140" spans="2:7" x14ac:dyDescent="0.3">
      <c r="B140" s="63" t="s">
        <v>78</v>
      </c>
      <c r="C140" s="69">
        <v>1547521.5676404492</v>
      </c>
      <c r="F140" s="63" t="s">
        <v>87</v>
      </c>
      <c r="G140" s="86">
        <v>1056000</v>
      </c>
    </row>
    <row r="141" spans="2:7" x14ac:dyDescent="0.3">
      <c r="B141" s="63" t="s">
        <v>83</v>
      </c>
      <c r="C141" s="69">
        <v>1350000</v>
      </c>
      <c r="F141" s="63" t="s">
        <v>149</v>
      </c>
      <c r="G141" s="86">
        <v>950421.15</v>
      </c>
    </row>
    <row r="142" spans="2:7" x14ac:dyDescent="0.3">
      <c r="B142" s="63" t="s">
        <v>82</v>
      </c>
      <c r="C142" s="69">
        <v>1350000</v>
      </c>
      <c r="F142" s="63" t="s">
        <v>218</v>
      </c>
      <c r="G142" s="86">
        <v>892500</v>
      </c>
    </row>
    <row r="143" spans="2:7" x14ac:dyDescent="0.3">
      <c r="B143" s="63" t="s">
        <v>73</v>
      </c>
      <c r="C143" s="69">
        <v>1350000</v>
      </c>
      <c r="F143" s="63" t="s">
        <v>77</v>
      </c>
      <c r="G143" s="86">
        <v>862500</v>
      </c>
    </row>
    <row r="144" spans="2:7" x14ac:dyDescent="0.3">
      <c r="B144" s="63" t="s">
        <v>207</v>
      </c>
      <c r="C144" s="69">
        <v>1350000</v>
      </c>
      <c r="F144" s="63" t="s">
        <v>203</v>
      </c>
      <c r="G144" s="86">
        <v>811111.5</v>
      </c>
    </row>
    <row r="145" spans="2:7" x14ac:dyDescent="0.3">
      <c r="B145" s="63" t="s">
        <v>202</v>
      </c>
      <c r="C145" s="69">
        <v>1326042.8999999999</v>
      </c>
      <c r="F145" s="63" t="s">
        <v>209</v>
      </c>
      <c r="G145" s="86">
        <v>810000</v>
      </c>
    </row>
    <row r="146" spans="2:7" x14ac:dyDescent="0.3">
      <c r="B146" s="63" t="s">
        <v>222</v>
      </c>
      <c r="C146" s="69">
        <v>1275000</v>
      </c>
      <c r="F146" s="63" t="s">
        <v>211</v>
      </c>
      <c r="G146" s="86">
        <v>800000</v>
      </c>
    </row>
    <row r="147" spans="2:7" x14ac:dyDescent="0.3">
      <c r="B147" s="63" t="s">
        <v>223</v>
      </c>
      <c r="C147" s="69">
        <v>1224231.9999999998</v>
      </c>
      <c r="F147" s="63" t="s">
        <v>81</v>
      </c>
      <c r="G147" s="86">
        <v>720000</v>
      </c>
    </row>
    <row r="148" spans="2:7" x14ac:dyDescent="0.3">
      <c r="B148" s="63" t="s">
        <v>210</v>
      </c>
      <c r="C148" s="69">
        <v>1200000</v>
      </c>
      <c r="F148" s="63" t="s">
        <v>84</v>
      </c>
      <c r="G148" s="86">
        <v>630000</v>
      </c>
    </row>
    <row r="149" spans="2:7" x14ac:dyDescent="0.3">
      <c r="B149" s="63" t="s">
        <v>208</v>
      </c>
      <c r="C149" s="69">
        <v>1150000</v>
      </c>
      <c r="F149" s="63" t="s">
        <v>160</v>
      </c>
      <c r="G149" s="86">
        <v>600000</v>
      </c>
    </row>
    <row r="150" spans="2:7" x14ac:dyDescent="0.3">
      <c r="B150" s="63" t="s">
        <v>87</v>
      </c>
      <c r="C150" s="69">
        <v>1056000</v>
      </c>
      <c r="F150" s="63" t="s">
        <v>89</v>
      </c>
      <c r="G150" s="86">
        <v>450000</v>
      </c>
    </row>
    <row r="151" spans="2:7" x14ac:dyDescent="0.3">
      <c r="B151" s="63" t="s">
        <v>149</v>
      </c>
      <c r="C151" s="69">
        <v>950421.15</v>
      </c>
      <c r="F151" s="63" t="s">
        <v>219</v>
      </c>
      <c r="G151" s="86">
        <v>440000</v>
      </c>
    </row>
    <row r="152" spans="2:7" x14ac:dyDescent="0.3">
      <c r="B152" s="63" t="s">
        <v>218</v>
      </c>
      <c r="C152" s="69">
        <v>892500</v>
      </c>
      <c r="F152" s="63" t="s">
        <v>91</v>
      </c>
      <c r="G152" s="86">
        <v>225292.5</v>
      </c>
    </row>
    <row r="153" spans="2:7" x14ac:dyDescent="0.3">
      <c r="B153" s="63" t="s">
        <v>77</v>
      </c>
      <c r="C153" s="69">
        <v>862500</v>
      </c>
      <c r="F153" s="63" t="s">
        <v>92</v>
      </c>
      <c r="G153" s="86">
        <v>141600</v>
      </c>
    </row>
    <row r="154" spans="2:7" x14ac:dyDescent="0.3">
      <c r="B154" s="63" t="s">
        <v>203</v>
      </c>
      <c r="C154" s="69">
        <v>811111.5</v>
      </c>
      <c r="F154" s="63" t="s">
        <v>230</v>
      </c>
      <c r="G154" s="108"/>
    </row>
    <row r="155" spans="2:7" x14ac:dyDescent="0.3">
      <c r="B155" s="63" t="s">
        <v>209</v>
      </c>
      <c r="C155" s="69">
        <v>810000</v>
      </c>
    </row>
    <row r="156" spans="2:7" x14ac:dyDescent="0.3">
      <c r="B156" s="63" t="s">
        <v>211</v>
      </c>
      <c r="C156" s="69">
        <v>800000</v>
      </c>
    </row>
    <row r="157" spans="2:7" x14ac:dyDescent="0.3">
      <c r="B157" s="63" t="s">
        <v>81</v>
      </c>
      <c r="C157" s="69">
        <v>720000</v>
      </c>
    </row>
    <row r="158" spans="2:7" x14ac:dyDescent="0.3">
      <c r="B158" s="63" t="s">
        <v>84</v>
      </c>
      <c r="C158" s="69">
        <v>630000</v>
      </c>
      <c r="E158" s="66"/>
    </row>
    <row r="159" spans="2:7" x14ac:dyDescent="0.3">
      <c r="B159" s="63" t="s">
        <v>160</v>
      </c>
      <c r="C159" s="69">
        <v>600000</v>
      </c>
      <c r="E159" s="73"/>
    </row>
    <row r="160" spans="2:7" x14ac:dyDescent="0.3">
      <c r="B160" s="63" t="s">
        <v>89</v>
      </c>
      <c r="C160" s="69">
        <v>450000</v>
      </c>
      <c r="E160" s="73"/>
    </row>
    <row r="161" spans="2:5" x14ac:dyDescent="0.3">
      <c r="B161" s="63" t="s">
        <v>219</v>
      </c>
      <c r="C161" s="69">
        <v>440000</v>
      </c>
      <c r="E161" s="66"/>
    </row>
    <row r="162" spans="2:5" x14ac:dyDescent="0.3">
      <c r="B162" s="63" t="s">
        <v>91</v>
      </c>
      <c r="C162" s="69">
        <v>225292.5</v>
      </c>
      <c r="E162" s="66"/>
    </row>
    <row r="163" spans="2:5" x14ac:dyDescent="0.3">
      <c r="B163" s="63" t="s">
        <v>92</v>
      </c>
      <c r="C163" s="69">
        <v>141600</v>
      </c>
      <c r="E163" s="66"/>
    </row>
    <row r="164" spans="2:5" x14ac:dyDescent="0.3">
      <c r="E164" s="66"/>
    </row>
  </sheetData>
  <autoFilter ref="AZ4:BA4" xr:uid="{6F22FA7C-C6F3-A643-9688-F0964A5FAB01}">
    <sortState xmlns:xlrd2="http://schemas.microsoft.com/office/spreadsheetml/2017/richdata2" ref="AZ5:BA35">
      <sortCondition descending="1" ref="BA4:BA35"/>
    </sortState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ENERO </vt:lpstr>
      <vt:lpstr>FEBRERO </vt:lpstr>
      <vt:lpstr>MARZO</vt:lpstr>
      <vt:lpstr>ACUMULADO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 Burlet</dc:creator>
  <cp:lastModifiedBy>Maxi Burlet</cp:lastModifiedBy>
  <dcterms:created xsi:type="dcterms:W3CDTF">2026-03-13T16:10:00Z</dcterms:created>
  <dcterms:modified xsi:type="dcterms:W3CDTF">2026-04-08T18:31:00Z</dcterms:modified>
</cp:coreProperties>
</file>